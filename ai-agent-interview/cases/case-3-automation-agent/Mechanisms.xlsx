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iachen/Downloads/"/>
    </mc:Choice>
  </mc:AlternateContent>
  <xr:revisionPtr revIDLastSave="0" documentId="13_ncr:1_{559E076C-BC40-794A-9F9A-D3B4CFC22877}" xr6:coauthVersionLast="47" xr6:coauthVersionMax="47" xr10:uidLastSave="{00000000-0000-0000-0000-000000000000}"/>
  <bookViews>
    <workbookView xWindow="0" yWindow="780" windowWidth="34200" windowHeight="19580" activeTab="4" xr2:uid="{00000000-000D-0000-FFFF-FFFF00000000}"/>
  </bookViews>
  <sheets>
    <sheet name="Template sheet" sheetId="17" r:id="rId1"/>
    <sheet name="extra FBB SME interview" sheetId="6" state="hidden" r:id="rId2"/>
    <sheet name="EmergConnect" sheetId="10" r:id="rId3"/>
    <sheet name="Cloudshelf - Updated" sheetId="23" r:id="rId4"/>
    <sheet name="Sparkinity" sheetId="2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23" l="1"/>
  <c r="C74" i="29"/>
  <c r="D74" i="29" s="1"/>
  <c r="C73" i="29"/>
  <c r="D73" i="29" s="1"/>
  <c r="D72" i="29"/>
  <c r="C72" i="29"/>
  <c r="C71" i="29"/>
  <c r="D71" i="29" s="1"/>
  <c r="D70" i="29"/>
  <c r="C69" i="29"/>
  <c r="D69" i="29" s="1"/>
  <c r="C68" i="29"/>
  <c r="D68" i="29" s="1"/>
  <c r="C67" i="29"/>
  <c r="D67" i="29" s="1"/>
  <c r="C66" i="29"/>
  <c r="D66" i="29" s="1"/>
  <c r="D65" i="29"/>
  <c r="C65" i="29"/>
  <c r="C64" i="29"/>
  <c r="D64" i="29" s="1"/>
  <c r="C63" i="29"/>
  <c r="D63" i="29" s="1"/>
  <c r="C67" i="23"/>
  <c r="C66" i="23"/>
  <c r="C60" i="23"/>
  <c r="D60" i="23" s="1"/>
  <c r="D59" i="23"/>
  <c r="C59" i="23"/>
  <c r="C57" i="23"/>
  <c r="D57" i="23" s="1"/>
  <c r="C56" i="23"/>
  <c r="D56" i="23" s="1"/>
  <c r="C55" i="23"/>
  <c r="D55" i="23" s="1"/>
  <c r="D54" i="23"/>
  <c r="C54" i="23"/>
  <c r="D53" i="23"/>
  <c r="C53" i="23"/>
  <c r="C52" i="23"/>
  <c r="D52" i="23" s="1"/>
  <c r="D51" i="23"/>
  <c r="D50" i="23"/>
  <c r="C50" i="23"/>
  <c r="C68" i="23" l="1"/>
  <c r="D77" i="29"/>
  <c r="D76" i="29"/>
  <c r="D78" i="29"/>
</calcChain>
</file>

<file path=xl/sharedStrings.xml><?xml version="1.0" encoding="utf-8"?>
<sst xmlns="http://schemas.openxmlformats.org/spreadsheetml/2006/main" count="609" uniqueCount="334">
  <si>
    <t>SDG Questionnaire response:</t>
  </si>
  <si>
    <t>None</t>
  </si>
  <si>
    <t>Alternative scenario:</t>
  </si>
  <si>
    <t>Stakeholders</t>
  </si>
  <si>
    <t>Environment</t>
  </si>
  <si>
    <t>Community</t>
  </si>
  <si>
    <t>Mechanisms</t>
  </si>
  <si>
    <t>Stakeholder affected</t>
  </si>
  <si>
    <t>Mechanism</t>
  </si>
  <si>
    <t>Driving Variable</t>
  </si>
  <si>
    <t>Positive/Negative</t>
  </si>
  <si>
    <t>Method</t>
  </si>
  <si>
    <t>Value</t>
  </si>
  <si>
    <t>Unit</t>
  </si>
  <si>
    <t>Negative</t>
  </si>
  <si>
    <t>Positive</t>
  </si>
  <si>
    <t>Cost of carbon</t>
  </si>
  <si>
    <t>per year</t>
  </si>
  <si>
    <t>PortCo Inputs</t>
  </si>
  <si>
    <t>Total</t>
  </si>
  <si>
    <t>absolute value</t>
  </si>
  <si>
    <t>Type of impact</t>
  </si>
  <si>
    <t>Financial</t>
  </si>
  <si>
    <t>Environmental</t>
  </si>
  <si>
    <t>Euros</t>
  </si>
  <si>
    <t>Social</t>
  </si>
  <si>
    <t>% of absolute value</t>
  </si>
  <si>
    <t>Consumers</t>
  </si>
  <si>
    <t>Air travel</t>
  </si>
  <si>
    <t>Flight emissions</t>
  </si>
  <si>
    <t>Risk of data breach</t>
  </si>
  <si>
    <t>Tax payment</t>
  </si>
  <si>
    <t>Patient families</t>
  </si>
  <si>
    <t>Interview questions</t>
  </si>
  <si>
    <t>Spinal tap v blood draw</t>
  </si>
  <si>
    <t>How long to schedule?</t>
  </si>
  <si>
    <t xml:space="preserve">anesthetic more painful than blood draw. pain is an experienced phenomenon. needle phobia. anesthetic doesn't go all the way. </t>
  </si>
  <si>
    <t>Expertise of practitioner?</t>
  </si>
  <si>
    <t>bloody tap: mess up, get blood in the specimen. cerebro-spinal fluid leak leads to constant headache. mid-level credentialing + RN</t>
  </si>
  <si>
    <t>Time length of procedure?</t>
  </si>
  <si>
    <t>facility travel to get LP vs blood draw at pharmacy</t>
  </si>
  <si>
    <t>Cost to payors?</t>
  </si>
  <si>
    <t>most insurances would cover LP. venal puncture would always be covered. should be able to get cost of LP</t>
  </si>
  <si>
    <t>Value of patent filing?</t>
  </si>
  <si>
    <t>great ideas should be shared for public good- chatGPT example, ex of technique for painless LP. unproductive effort spent on admin costs</t>
  </si>
  <si>
    <t>Time in machine to process blood sample?</t>
  </si>
  <si>
    <t>Disposal method of medical waste?</t>
  </si>
  <si>
    <t>sharps container, incineration in special facility. same for leftover specimen</t>
  </si>
  <si>
    <t>Typical shipping method of blood sample (USPS)</t>
  </si>
  <si>
    <t>How is a blood sample processed?</t>
  </si>
  <si>
    <t>Appx. weight of blood draw kit?</t>
  </si>
  <si>
    <t>Do blood samples need to be refrigerated during transport?</t>
  </si>
  <si>
    <t>some yes, some no, depends on test</t>
  </si>
  <si>
    <t>How much blood is needed?</t>
  </si>
  <si>
    <t>probably not more than one tube</t>
  </si>
  <si>
    <t>Increased market access</t>
  </si>
  <si>
    <t>Note</t>
  </si>
  <si>
    <t>Per $1 of revenue</t>
  </si>
  <si>
    <t>Patients</t>
  </si>
  <si>
    <t>Healthcare payors</t>
  </si>
  <si>
    <t>Hospitals/healthcare providers</t>
  </si>
  <si>
    <t>Hospitals</t>
  </si>
  <si>
    <t>Cost savings (admin staff?)</t>
  </si>
  <si>
    <t>Reduced wait time (pre-enter info and direct to best provider, non-urgent cases directed elsewhere)</t>
  </si>
  <si>
    <t>Reduced risk of contracting Covid</t>
  </si>
  <si>
    <t>Reduced stress / frustration</t>
  </si>
  <si>
    <t>Increase ER efficiency</t>
  </si>
  <si>
    <t>Cloud hosting of app</t>
  </si>
  <si>
    <t>Decrease clinician workload</t>
  </si>
  <si>
    <t>Reduce administrative costs</t>
  </si>
  <si>
    <t>Reduce clinician burnout</t>
  </si>
  <si>
    <t>Reducing paper usage</t>
  </si>
  <si>
    <t>Risk of inaccurate prediction/misdirection</t>
  </si>
  <si>
    <t>Reduced unnecessary ER visits</t>
  </si>
  <si>
    <t>Taxes paid</t>
  </si>
  <si>
    <t>SECTION I</t>
  </si>
  <si>
    <t>Key information</t>
  </si>
  <si>
    <t>SDG(s) addressed:</t>
  </si>
  <si>
    <t>Vertical:</t>
  </si>
  <si>
    <t>Alternative scenario(s):</t>
  </si>
  <si>
    <t>Explanation: who, what, nature of relationship to the portco</t>
  </si>
  <si>
    <t>SECTION II</t>
  </si>
  <si>
    <t>% attributable</t>
  </si>
  <si>
    <t>Notes &amp; explanation</t>
  </si>
  <si>
    <t>SECTION III</t>
  </si>
  <si>
    <t>PortCo Inputs (real)</t>
  </si>
  <si>
    <t>PortCo Inputs (anticipated, if necessary)</t>
  </si>
  <si>
    <t>SECTION IV</t>
  </si>
  <si>
    <t>Stakeholder</t>
  </si>
  <si>
    <t>Total:</t>
  </si>
  <si>
    <t>Total, environmental:</t>
  </si>
  <si>
    <t>Total, social:</t>
  </si>
  <si>
    <t>Assumptions</t>
  </si>
  <si>
    <t>Society</t>
  </si>
  <si>
    <t>USD/kg CO₂e</t>
  </si>
  <si>
    <t>Annual revenue</t>
  </si>
  <si>
    <t>USD/year</t>
  </si>
  <si>
    <t>​Cloudshelf is a B2B SaaS platform that enables retailers to seamlessly integrate their e-commerce systems with in-store digital experiences, such as kiosks and digital signage, enhancing customer engagement and expanding product visibility within physical retail spaces. ​</t>
  </si>
  <si>
    <t>In the absence of Cloudshelf, retailers would either forego in-store digital experiences entirely, or rely on expensive, fragmented custom-built touchscreen solutions that are slower to deploy, less integrated, and less effective at improving customer experience or inventory efficiency</t>
  </si>
  <si>
    <t>Retailers (Clients)</t>
  </si>
  <si>
    <t>Businesses that use Cloudshelf to enhance in-store digital engagement, benefiting from increased sales, lower stock costs, and faster deployment vs. custom builds.</t>
  </si>
  <si>
    <t>Retail Staff</t>
  </si>
  <si>
    <t>Store employees whose workflows are simplified by Cloudshelf, freeing up time for higher-value customer interactions and reducing repetitive product-check tasks.</t>
  </si>
  <si>
    <t>End Customers</t>
  </si>
  <si>
    <t>Shoppers in retail stores who enjoy broader product access, fewer stockouts, and a smoother shopping experience through interactive in-store screens.</t>
  </si>
  <si>
    <t>Retail IT Teams</t>
  </si>
  <si>
    <t>In-house tech teams that benefit from Cloudshelf’s plug-and-play setup, reducing time and cost associated with custom integration or platform maintenance.</t>
  </si>
  <si>
    <t>The natural ecosystem benefits indirectly from reduced inventory waste, more efficient logistics, and lower resource usage across retail operations.</t>
  </si>
  <si>
    <t>Logistics Providers</t>
  </si>
  <si>
    <t>Third-party warehousing and transport services may see reduced demand as retailers optimize stock levels and reduce transfers through smarter digital setups.</t>
  </si>
  <si>
    <t>Legacy Solution Providers</t>
  </si>
  <si>
    <t>Vendors of traditional touchscreen or kiosk systems who may lose market share to Cloudshelf’s quicker, cheaper, and easier-to-use SaaS platform.</t>
  </si>
  <si>
    <t>Cloudshelf Employees</t>
  </si>
  <si>
    <t>Internal team members gaining employment, skills, and alignment with a purpose-driven tech company focused on modernizing retail.</t>
  </si>
  <si>
    <t>Reduced cost and complexity of deploying in-store digital experiences</t>
  </si>
  <si>
    <t># of deployments / cost savings per store</t>
  </si>
  <si>
    <t>Estimated average cost savings per store by comparing traditional digital signage setups ($10k–$25k) with Cloudshelf’s plug-and-play model ($1k–$2k)</t>
  </si>
  <si>
    <t>USD per store</t>
  </si>
  <si>
    <t>Traditinoal signage costs USD 50,000 according to Cloudshelf. Average cost to Cloudshelf customer USD 6440 (revenue divided by customer)</t>
  </si>
  <si>
    <t>Increased sales from better product availability and visibility</t>
  </si>
  <si>
    <t>$ uplift in sales from Cloudshelf screens</t>
  </si>
  <si>
    <t>Apply industry benchmark sales uplift (~32%) to the average annual sales per store (data to be provided by Cloudshelf)</t>
  </si>
  <si>
    <t>we assume retailers spend ~2–5% of their own revenue on tech like Cloudshelf. Working backward: that would give each client an implied revenue of $125,000 – $312,500. Taking the midpoint of USD 220,000 and applying a 32% uplift</t>
  </si>
  <si>
    <t>Lower inventory requirements and associated carrying costs</t>
  </si>
  <si>
    <t>% reduction in physical stock held</t>
  </si>
  <si>
    <t>Financial / Environmental</t>
  </si>
  <si>
    <t>Estimate annual savings per store by applying a 15% reduction to the typical 25% inventory carrying cost on an average inventory value of $100,000. Inventory value is analyst estimate</t>
  </si>
  <si>
    <t>Assumes a 15% reduction in inventory levels due to improved management from digital signage. Inventory carrying costs are estimated at 25% of inventory value. Sources: NetSuite.</t>
  </si>
  <si>
    <t>Reduced unsold goods and associated waste</t>
  </si>
  <si>
    <t>Units of inventory diverted from waste</t>
  </si>
  <si>
    <t>Apply a 15% reduction rate to the average annual unsold goods value per store ($25,000)</t>
  </si>
  <si>
    <t>Reflects lower-end SMB retail estimate. Assumes better stock visibility and demand matching through Cloudshelf. Sources: Manmade, EEA. Impact measured as value of waste avoided, not resale recovery. Value is analyst estimate</t>
  </si>
  <si>
    <t>More efficient workflows and reduced low-value tasks</t>
  </si>
  <si>
    <t>Staff hours reallocated</t>
  </si>
  <si>
    <t>Social / Financial</t>
  </si>
  <si>
    <t>Estimate annual savings per store by calculating 260 staff hours saved annually at an average wage of $19.24/hour.</t>
  </si>
  <si>
    <t xml:space="preserve">Assumes 5 staff hours saved per week due to workflow efficiencies from digital signage. </t>
  </si>
  <si>
    <t>Increased access to products and fewer stockouts</t>
  </si>
  <si>
    <t># of successful purchases enabled by Cloudshelf</t>
  </si>
  <si>
    <t>Estimate recovered sales per store as 1% of total store revenue, based on a 10% reduction of 10% stockout loss.</t>
  </si>
  <si>
    <t>Placeholder for store-level sales figure from Cloudshelf. Assumes 10% of store sales are lost to stockouts and 10% of that is recovered by using Cloudshelf.</t>
  </si>
  <si>
    <t>Improved in-store experience and satisfaction</t>
  </si>
  <si>
    <t># of successful visits saved × 1 hour</t>
  </si>
  <si>
    <t>Estimate value of time saved by shoppers avoiding wasted visits (10/week), using 1 hour × UK min wage proxy.</t>
  </si>
  <si>
    <t>Assumes 10 wasted visits prevented per week. Minimum wage proxy = £11.44/hour converted to $14.30. Total of 520 hrs saved per year. Covers both time and emotional value of convenience.</t>
  </si>
  <si>
    <t>Lower time and effort for integration and maintenance</t>
  </si>
  <si>
    <t>Dev hours saved / setup time</t>
  </si>
  <si>
    <t>Estimate annual savings per store by calculating 50 IT hours saved annually at an average wage of $50/hour.</t>
  </si>
  <si>
    <t>Assumes 50% reduction in IT workload due to streamlined integration and maintenance with Cloudshelf's digital signage solution. Sources: Poppulo, Fugo.</t>
  </si>
  <si>
    <t>Reduced waste and emissions from more efficient retail operations</t>
  </si>
  <si>
    <t>Tons of CO₂ saved or waste diverted</t>
  </si>
  <si>
    <t>Estimate 5% emissions reduction on 512.6 tonnes CO₂e/store/year; multiply 25,630 kg saved by SCC of $0.236/kg.</t>
  </si>
  <si>
    <t>Based on average clothing retail store emissions: 200,000 kWh electricity use and 10× scope 3 multiplier. Sources: Carbon Trust, UK Gov, McKinsey, Ethical Consumer. Monetized using IFVI’s social cost of carbon.</t>
  </si>
  <si>
    <t>Reduced demand due to inventory optimization</t>
  </si>
  <si>
    <t># of avoided shipments / store transfers</t>
  </si>
  <si>
    <t>Financial (external)</t>
  </si>
  <si>
    <t>Estimate 15% reduction in 18 annual shipments per store, at $500 per shipment.</t>
  </si>
  <si>
    <t>Technicians</t>
  </si>
  <si>
    <t>Salaries</t>
  </si>
  <si>
    <t>Salaly paid</t>
  </si>
  <si>
    <t>Website operations</t>
  </si>
  <si>
    <t>CO2e made</t>
  </si>
  <si>
    <t>Flights</t>
  </si>
  <si>
    <t>Investments sheet</t>
  </si>
  <si>
    <t>Estimated Number of Stores Using Cloudshelf</t>
  </si>
  <si>
    <t>Stores</t>
  </si>
  <si>
    <t>Inferred from dividing revenue by plausible per-store SaaS contribution and deck reference to scale.</t>
  </si>
  <si>
    <t>Average costs of cloudshelf to client</t>
  </si>
  <si>
    <t>per store</t>
  </si>
  <si>
    <t>Calculated from above.</t>
  </si>
  <si>
    <t>Estimated Revenue per Retail Store (Client)</t>
  </si>
  <si>
    <t>USD/store/year</t>
  </si>
  <si>
    <t>Based on UK SME retailer benchmarks (e.g., fashion, homeware); source: Statista and sector norms.</t>
  </si>
  <si>
    <t>Estimated Sales Uplift per Store from Using Cloudshelf</t>
  </si>
  <si>
    <t>32% uplift applied to estimated client revenue from improved product visibility and access.</t>
  </si>
  <si>
    <t>USD per year</t>
  </si>
  <si>
    <t>Input</t>
  </si>
  <si>
    <t>Digital wholesale marketplace that connects independent retailers with unique brands across Europe, helping businesses discover and source distinctive products.</t>
  </si>
  <si>
    <t>Independent retailers continue to face higher sourcing costs, longer discovery times for unique brands, and potentially reduced product diversity, making it harder to compete with larger retailers and online giants.</t>
  </si>
  <si>
    <t>Platform exists to allow people who have a vision for their company (be it a brand or retailer) to bring that vision to life. Giving people who want to start as a retailer or brand that is a cost effective way and good success factor for them to get their vision to life.</t>
  </si>
  <si>
    <t>Be sure to include financial component - not having individual capital to create/bring vision to life. Sparkinity can give you credit to help with inventory / stock (albeit for a short time). Eg. art student who doesn't want to work for others. Access to others (hundreds of thousands of retailers). Allows you to use negotaited rate terms etc (lowering start up costs)</t>
  </si>
  <si>
    <t xml:space="preserve">Independent Retailers (Customers) </t>
  </si>
  <si>
    <t>Small and medium-sized businesses that use Sparkinity to efficiently discover and source unique products.</t>
  </si>
  <si>
    <t xml:space="preserve">Brands &amp; Suppliers </t>
  </si>
  <si>
    <t>Companies and artisans that rely on Sparkinity for broader distribution and market access.</t>
  </si>
  <si>
    <t>End customers who benefit from a more diverse and unique product selection in retail stores that source from Sparkinity.</t>
  </si>
  <si>
    <t>Logistics &amp; Shipping Providers</t>
  </si>
  <si>
    <t>Third-party carriers and fulfillment centers that ensure orders are delivered efficiently.</t>
  </si>
  <si>
    <t>Environment &amp; Society</t>
  </si>
  <si>
    <t>The ecological impact of sourcing and shipping goods, as well as the societal impact of supporting small businesses and independent brands.</t>
  </si>
  <si>
    <t>Independent Retailers</t>
  </si>
  <si>
    <t>Access to unique brands</t>
  </si>
  <si>
    <t>Increased sales &amp; differentiation</t>
  </si>
  <si>
    <t>Retailer revenue uplift = Avg uplift % × Estimated retailer revenue from Sparkinity</t>
  </si>
  <si>
    <t>USD per retailer</t>
  </si>
  <si>
    <t>Avg. markup on products = 2x, 100% attributable to Sparkinity sales</t>
  </si>
  <si>
    <t>Lower sourcing costs</t>
  </si>
  <si>
    <t>Reduced expenses</t>
  </si>
  <si>
    <t>estimate the annual financial benefit to independent retailers from lower sourcing costs by applying a standard percentage savings to average inventory spend for small shops.</t>
  </si>
  <si>
    <t>We estimate a conservative annual savings of $5,000 per retailer based on typical small shop inventory spend ($50,000–$100,000/year) and expected sourcing savings of 10–20% from platforms like Sparkinity</t>
  </si>
  <si>
    <t>Platform dependency</t>
  </si>
  <si>
    <t>Potential reliance on Sparkinity</t>
  </si>
  <si>
    <t>Estimate revenue impact if platform fees increase or access is lost</t>
  </si>
  <si>
    <t>We assume 50% of the revenue derived from Sparkinity is at risk in the event of platform loss or fee increases, and apply that to the previously estimated per-retailer revenue</t>
  </si>
  <si>
    <t>Brands &amp; Suppliers</t>
  </si>
  <si>
    <t>Higher sales &amp; brand exposure</t>
  </si>
  <si>
    <t>We estimate the annual financial impact per brand by dividing Sparkinity’s total revenue across all brands and assuming each brand retains 50% of sales as gross revenue.</t>
  </si>
  <si>
    <t>(Sparkinity Revenue ÷ Number of Brands) × Brand Retention Rate</t>
  </si>
  <si>
    <t>USD per brand</t>
  </si>
  <si>
    <t>We assume brand keeps half of sales revenue</t>
  </si>
  <si>
    <t>Reduced marketing burden</t>
  </si>
  <si>
    <t>Lower customer acquisition costs</t>
  </si>
  <si>
    <t>Compare cost of acquiring customers via Sparkinity vs. direct marketing; 10–20 retailers acquired per year × $200–$400 CAC savings</t>
  </si>
  <si>
    <t>We estimate a marketing cost savings of $2,000–$8,000 per brand per year, assuming brands acquire 10–20 retailers annually via Sparkinity and save $200–$400 per retailer compared to doing it themselves.</t>
  </si>
  <si>
    <t>Greater product variety</t>
  </si>
  <si>
    <t>Increased satisfaction &amp; choice</t>
  </si>
  <si>
    <t>Studies in behavioral economics often estimate $5–$20 per product category per year as the added value consumers receive from increased choice or customization, even without price changes.</t>
  </si>
  <si>
    <t>USD per customer/year</t>
  </si>
  <si>
    <t>We estimate the social benefit of increased product variety by assigning a dollar value to consumer surplus—the additional value consumers place on access to unique or preferred goods beyond what they pay; $5–$10 value per purchase × 2–3 purchases/year</t>
  </si>
  <si>
    <t>Potential price increases</t>
  </si>
  <si>
    <t>Higher costs if retailers pass sourcing expenses</t>
  </si>
  <si>
    <t>Financial Impact per Consumer=Annual Spend per Customer×Inflation or Fee Increase Rate</t>
  </si>
  <si>
    <t>We estimate the financial burden on consumers by applying a conservative price increase (based on inflation or platform dynamics) to the actual annual spend per consumer, if provided by Sparkinity.</t>
  </si>
  <si>
    <t>Increased shipping volume</t>
  </si>
  <si>
    <t>Higher revenue for logistics firms</t>
  </si>
  <si>
    <t>estimate the carbon emissions per shipment by calculating the emissions based on the average distance to major UK cities and applying the social cost of carbon at $0.236 per kg CO₂e.</t>
  </si>
  <si>
    <t>We estimate annual revenue to logistics providers based either on Sparkinity’s reported shipping spend or by assuming $5–$10 per shipment, with order volume inferred from company revenue and average order size.</t>
  </si>
  <si>
    <t>Environmental impact</t>
  </si>
  <si>
    <t>Increased carbon emissions from shipping</t>
  </si>
  <si>
    <t>Calculate CO2 emissions from additional shipments and monetize via carbon credit cost (Distance × Emission Factor × Weight × Social Cost of Carbon)</t>
  </si>
  <si>
    <t>USD per shipment</t>
  </si>
  <si>
    <t>1 kg shipment over 150 miles at 0.1693 kg CO₂e/ton-mile</t>
  </si>
  <si>
    <t>Sustainable product options</t>
  </si>
  <si>
    <t>Lower environmental footprint</t>
  </si>
  <si>
    <t>We estimate the environmental benefit by calculating the difference in carbon emissions between conventional and sustainable products and then applying the social cost of carbon to this difference.</t>
  </si>
  <si>
    <t>USD per product</t>
  </si>
  <si>
    <t>4.9 kg CO₂e reduction per product × $0.236/kg CO₂e</t>
  </si>
  <si>
    <t>Packaging waste</t>
  </si>
  <si>
    <t>Increased landfill contribution</t>
  </si>
  <si>
    <t>stimate the environmental cost of packaging waste by calculating the average CO₂e emissions from packaging per product and multiplying that by the social cost of carbon. (0.25 × 0.236)</t>
  </si>
  <si>
    <t>9% packaging weight; 3 kg CO₂e/kg; $0.236/kg CO₂e</t>
  </si>
  <si>
    <t>Sparkinity enables creators and early-stage brands (e.g. artists, students, micro-entrepreneurs) to access a wide customer base without needing upfront capital or logistics infrastructure—reducing barriers to market entry and business formation.</t>
  </si>
  <si>
    <t>Stronger local economies</t>
  </si>
  <si>
    <t>Financial / Social</t>
  </si>
  <si>
    <t>the financial benefit per partner by identifying cost categories faced by small retail and e-commerce businesses and calculating avoided expenses enabled by Sparkinity’s credit, distribution access, and negotiated services.</t>
  </si>
  <si>
    <t>Per partner</t>
  </si>
  <si>
    <r>
      <t xml:space="preserve">Based on startup benchmarks from the </t>
    </r>
    <r>
      <rPr>
        <u/>
        <sz val="12"/>
        <color rgb="FF1155CC"/>
        <rFont val="Arial"/>
        <family val="2"/>
      </rPr>
      <t>Business Consulting Agency</t>
    </r>
    <r>
      <rPr>
        <sz val="12"/>
        <color rgb="FF000000"/>
        <rFont val="Arial"/>
        <family val="2"/>
      </rPr>
      <t>, we estimate that Sparkinity helps small brand partners avoid $5,000 to $15,000 in startup costs, primarily by reducing upfront inventory needs, eliminating the need for their own storefront or web platform, and providing immediate access to a customer base.</t>
    </r>
  </si>
  <si>
    <t>Justification</t>
  </si>
  <si>
    <t>Total Annual Revenue</t>
  </si>
  <si>
    <t>Estimated using a 2.5x revenue multiple, common for early-stage B2B platforms. GBP 1M ÷ 2.5 ≈ GBP 400K ≈ USD 400K.</t>
  </si>
  <si>
    <t>Type</t>
  </si>
  <si>
    <t>Impact</t>
  </si>
  <si>
    <t>Proxy/Assumption</t>
  </si>
  <si>
    <t>Formula</t>
  </si>
  <si>
    <t>Units</t>
  </si>
  <si>
    <t>Source</t>
  </si>
  <si>
    <t>Number of Active Retailers</t>
  </si>
  <si>
    <t>Retailers</t>
  </si>
  <si>
    <t>Industry benchmarks for early-stage wholesale platforms suggest ~200 active retailers at this revenue level. Adjust based on feedback.</t>
  </si>
  <si>
    <t>Independent retailers</t>
  </si>
  <si>
    <t>$1,000 uplift in retailer revenue (based on 10% of $10,000 est.)</t>
  </si>
  <si>
    <t>$ per retailer per year</t>
  </si>
  <si>
    <t>Industry anecdotes from Faire, Abound (10–30% uplift)</t>
  </si>
  <si>
    <t>Number of Active Brands/Suppliers</t>
  </si>
  <si>
    <t>Brands/Suppliers</t>
  </si>
  <si>
    <t>Assumed ratio of 5 retailers per brand, aligns with typical adoption curves for B2B platforms.</t>
  </si>
  <si>
    <t>$5,000 cost savings per retailer</t>
  </si>
  <si>
    <t>Savings = Estimated average sourcing savings</t>
  </si>
  <si>
    <t>Retail startup benchmarks</t>
  </si>
  <si>
    <t>Assumed Average Order Value (AOV)</t>
  </si>
  <si>
    <t>USD/order</t>
  </si>
  <si>
    <t>Based on typical B2B wholesale marketplace averages for curated goods. Reference: Faire, Abound industry benchmarks.</t>
  </si>
  <si>
    <t>Platform dependency risk</t>
  </si>
  <si>
    <t>$5,000 at-risk revenue (50% of $10,000 est.)</t>
  </si>
  <si>
    <t>At-risk revenue = Estimated retailer revenue × 50%</t>
  </si>
  <si>
    <t>Scenario assumption</t>
  </si>
  <si>
    <t>Average Number of Orders/Year</t>
  </si>
  <si>
    <t>Orders/year</t>
  </si>
  <si>
    <t>Derived from Revenue ÷ AOV → $400,000 ÷ $50 = 8,000 orders/year.</t>
  </si>
  <si>
    <t>Brands and suppliers</t>
  </si>
  <si>
    <t>$300 CAC avoided per retailer, × ~10 new retailers = $3,000</t>
  </si>
  <si>
    <t>Avoided CAC × Avg # of new retailer relationships</t>
  </si>
  <si>
    <t>$ per brand per year</t>
  </si>
  <si>
    <t>B2B marketplace CAC benchmarks</t>
  </si>
  <si>
    <t>Average Shipment Weight</t>
  </si>
  <si>
    <t>kg/order</t>
  </si>
  <si>
    <t>Default assumption based on small-parcel average weights. Confirm with company for accuracy.</t>
  </si>
  <si>
    <t>Pricing pressure from competition</t>
  </si>
  <si>
    <t>$2,000 loss per brand (10% margin on $20,000 marketplace revenue)</t>
  </si>
  <si>
    <t>Loss = Avg margin loss × Marketplace revenue</t>
  </si>
  <si>
    <t>Marketplace pricing studies</t>
  </si>
  <si>
    <t>Social Cost of Carbon</t>
  </si>
  <si>
    <t>Standard used throughout: IFVI methodology.</t>
  </si>
  <si>
    <t>$1 per customer/year (consumer surplus from choice)</t>
  </si>
  <si>
    <t>Benefit = $1 × # of customers</t>
  </si>
  <si>
    <t>$ per consumer per year</t>
  </si>
  <si>
    <t>Consumer surplus studies (Bento et al., Train &amp; McFadden)</t>
  </si>
  <si>
    <t>Average Wholesale Price (est.)</t>
  </si>
  <si>
    <t>USD/unit</t>
  </si>
  <si>
    <t>Assumed value based on comparable products. Enables retail margin estimates. Update with company-supplied pricing for precision.</t>
  </si>
  <si>
    <t>$5 price increase × $250 avg spend = $12.50 loss</t>
  </si>
  <si>
    <t>Loss = Price increase × Avg spend</t>
  </si>
  <si>
    <t>Retail pricing scenarios, pegged to inflation</t>
  </si>
  <si>
    <t>Assumed Retail Markup</t>
  </si>
  <si>
    <t>2x</t>
  </si>
  <si>
    <t>Multiplier</t>
  </si>
  <si>
    <t>Industry norm for small independent retailers. Used to estimate retailer profit per unit.</t>
  </si>
  <si>
    <t>Logistics providers</t>
  </si>
  <si>
    <t>$1 per kg × 8,000 kg = $8,000 logistics revenue</t>
  </si>
  <si>
    <t>$ per kg × Estimated shipping weight</t>
  </si>
  <si>
    <t>$ per year</t>
  </si>
  <si>
    <t>Shipping industry revenue benchmarks</t>
  </si>
  <si>
    <t>Annual Product Units Sold</t>
  </si>
  <si>
    <t>Units/year</t>
  </si>
  <si>
    <t>Derived from revenue ÷ assumed wholesale price → $400,000 ÷ $4 = 100,000 units/year.</t>
  </si>
  <si>
    <t>Carbon from shipping</t>
  </si>
  <si>
    <t>Environment and society</t>
  </si>
  <si>
    <t>0.147 kg CO₂ × $0.236 SCC = $0.035 per shipment</t>
  </si>
  <si>
    <t>Emissions × Social cost of carbon</t>
  </si>
  <si>
    <t>$ per shipment</t>
  </si>
  <si>
    <t>GLEC Framework, IFVI SCC $0.236</t>
  </si>
  <si>
    <t>Customers per year</t>
  </si>
  <si>
    <t>Support for small business</t>
  </si>
  <si>
    <t>$10,000 capital access benefit per retailer</t>
  </si>
  <si>
    <t>Capital avoided × # of retailers</t>
  </si>
  <si>
    <t>Retail startup cost studies (Business Consulting Agency)</t>
  </si>
  <si>
    <t>Customer-based mechanisms (e.g., variety, pricing)</t>
  </si>
  <si>
    <t>Financial/Social</t>
  </si>
  <si>
    <t>Both</t>
  </si>
  <si>
    <t>Estimated 1,600 customers (based on $400,000 revenue ÷ $250 spend)</t>
  </si>
  <si>
    <t>Revenue ÷ Avg. customer spend</t>
  </si>
  <si>
    <t>Customers/year</t>
  </si>
  <si>
    <t>Assumption based on earlier price impact calculation</t>
  </si>
  <si>
    <t>Enviornment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</si>
</sst>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0" formatCode="&quot;$&quot;#,##0.00"/>
    <numFmt numFmtId="172" formatCode="&quot;$&quot;#,##0"/>
    <numFmt numFmtId="177" formatCode="_(&quot;$&quot;* #,##0.00_);_(&quot;$&quot;* \(#,##0.00\);_(&quot;$&quot;* &quot;-&quot;??_);_(@_)"/>
  </numFmts>
  <fonts count="20">
    <font>
      <sz val="10"/>
      <color rgb="FF000000"/>
      <name val="Arial"/>
      <scheme val="minor"/>
    </font>
    <font>
      <sz val="10"/>
      <color theme="1"/>
      <name val="Arial"/>
      <family val="2"/>
      <scheme val="minor"/>
    </font>
    <font>
      <sz val="10"/>
      <color rgb="FF000000"/>
      <name val="Arial"/>
      <family val="2"/>
      <scheme val="minor"/>
    </font>
    <font>
      <b/>
      <sz val="10"/>
      <color theme="1"/>
      <name val="Arial"/>
      <family val="2"/>
      <scheme val="minor"/>
    </font>
    <font>
      <strike/>
      <sz val="10"/>
      <color theme="1"/>
      <name val="Arial"/>
      <family val="2"/>
      <scheme val="minor"/>
    </font>
    <font>
      <sz val="10"/>
      <color theme="1"/>
      <name val="Arial"/>
      <family val="2"/>
    </font>
    <font>
      <i/>
      <sz val="10"/>
      <color theme="1"/>
      <name val="Arial"/>
      <family val="2"/>
    </font>
    <font>
      <b/>
      <sz val="10"/>
      <color rgb="FFFFFFFF"/>
      <name val="Arial"/>
      <family val="2"/>
    </font>
    <font>
      <sz val="10"/>
      <name val="Arial"/>
      <family val="2"/>
    </font>
    <font>
      <sz val="12"/>
      <color rgb="FF000000"/>
      <name val="Arial"/>
      <family val="2"/>
      <scheme val="minor"/>
    </font>
    <font>
      <u/>
      <sz val="12"/>
      <color rgb="FF000000"/>
      <name val="Arial"/>
      <family val="2"/>
    </font>
    <font>
      <b/>
      <sz val="10"/>
      <color rgb="FF000000"/>
      <name val="Arial"/>
      <family val="2"/>
      <scheme val="minor"/>
    </font>
    <font>
      <sz val="12"/>
      <color rgb="FF000000"/>
      <name val="&quot;Times New Roman&quot;"/>
    </font>
    <font>
      <sz val="12"/>
      <color rgb="FF000000"/>
      <name val="Arial"/>
      <family val="2"/>
    </font>
    <font>
      <sz val="14"/>
      <color theme="1"/>
      <name val="Arial"/>
      <family val="2"/>
    </font>
    <font>
      <sz val="11"/>
      <color rgb="FF000000"/>
      <name val="Calibri"/>
      <family val="2"/>
    </font>
    <font>
      <b/>
      <sz val="8"/>
      <color rgb="FF000000"/>
      <name val="&quot;Helvetica Neue&quot;"/>
    </font>
    <font>
      <sz val="8"/>
      <color rgb="FF000000"/>
      <name val="&quot;Helvetica Neue&quot;"/>
    </font>
    <font>
      <b/>
      <sz val="11"/>
      <color rgb="FF000000"/>
      <name val="Calibri"/>
      <family val="2"/>
    </font>
    <font>
      <u/>
      <sz val="12"/>
      <color rgb="FF1155CC"/>
      <name val="Arial"/>
      <family val="2"/>
    </font>
  </fonts>
  <fills count="16">
    <fill>
      <patternFill patternType="none"/>
    </fill>
    <fill>
      <patternFill patternType="gray125"/>
    </fill>
    <fill>
      <patternFill patternType="solid">
        <fgColor rgb="FFA4C2F4"/>
        <bgColor rgb="FFA4C2F4"/>
      </patternFill>
    </fill>
    <fill>
      <patternFill patternType="solid">
        <fgColor rgb="FFFFFFFF"/>
        <bgColor rgb="FFFFFFFF"/>
      </patternFill>
    </fill>
    <fill>
      <patternFill patternType="solid">
        <fgColor rgb="FFC9DAF8"/>
        <bgColor rgb="FFC9DAF8"/>
      </patternFill>
    </fill>
    <fill>
      <patternFill patternType="solid">
        <fgColor rgb="FFE6B8AF"/>
        <bgColor rgb="FFE6B8AF"/>
      </patternFill>
    </fill>
    <fill>
      <patternFill patternType="solid">
        <fgColor rgb="FF3C78D8"/>
        <bgColor rgb="FF3C78D8"/>
      </patternFill>
    </fill>
    <fill>
      <patternFill patternType="solid">
        <fgColor rgb="FF6D9EEB"/>
        <bgColor rgb="FF6D9EEB"/>
      </patternFill>
    </fill>
    <fill>
      <patternFill patternType="solid">
        <fgColor rgb="FF38761D"/>
        <bgColor rgb="FF38761D"/>
      </patternFill>
    </fill>
    <fill>
      <patternFill patternType="solid">
        <fgColor rgb="FF6AA84F"/>
        <bgColor rgb="FF6AA84F"/>
      </patternFill>
    </fill>
    <fill>
      <patternFill patternType="solid">
        <fgColor rgb="FFB6D7A8"/>
        <bgColor rgb="FFB6D7A8"/>
      </patternFill>
    </fill>
    <fill>
      <patternFill patternType="solid">
        <fgColor rgb="FF674EA7"/>
        <bgColor rgb="FF674EA7"/>
      </patternFill>
    </fill>
    <fill>
      <patternFill patternType="solid">
        <fgColor rgb="FFB4A7D6"/>
        <bgColor rgb="FFB4A7D6"/>
      </patternFill>
    </fill>
    <fill>
      <patternFill patternType="solid">
        <fgColor rgb="FFB45F06"/>
        <bgColor rgb="FFB45F06"/>
      </patternFill>
    </fill>
    <fill>
      <patternFill patternType="solid">
        <fgColor rgb="FFE69138"/>
        <bgColor rgb="FFE69138"/>
      </patternFill>
    </fill>
    <fill>
      <patternFill patternType="solid">
        <fgColor rgb="FFF9CB9C"/>
        <bgColor rgb="FFF9CB9C"/>
      </patternFill>
    </fill>
  </fills>
  <borders count="6">
    <border>
      <left/>
      <right/>
      <top/>
      <bottom/>
      <diagonal/>
    </border>
    <border>
      <left/>
      <right/>
      <top/>
      <bottom style="thin">
        <color rgb="FF000000"/>
      </bottom>
      <diagonal/>
    </border>
    <border>
      <left/>
      <right/>
      <top style="thin">
        <color rgb="FF000000"/>
      </top>
      <bottom/>
      <diagonal/>
    </border>
    <border>
      <left/>
      <right/>
      <top style="dotted">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7">
    <xf numFmtId="0" fontId="0" fillId="0" borderId="0" xfId="0"/>
    <xf numFmtId="0" fontId="1" fillId="2" borderId="0" xfId="0" applyFont="1" applyFill="1"/>
    <xf numFmtId="0" fontId="1" fillId="3" borderId="0" xfId="0" applyFont="1" applyFill="1"/>
    <xf numFmtId="0" fontId="1" fillId="4" borderId="0" xfId="0" applyFont="1" applyFill="1"/>
    <xf numFmtId="0" fontId="2" fillId="0" borderId="0" xfId="0" applyFont="1"/>
    <xf numFmtId="0" fontId="1" fillId="0" borderId="0" xfId="0" applyFont="1"/>
    <xf numFmtId="2" fontId="1" fillId="0" borderId="0" xfId="0" applyNumberFormat="1" applyFont="1"/>
    <xf numFmtId="0" fontId="1" fillId="5" borderId="0" xfId="0" applyFont="1" applyFill="1"/>
    <xf numFmtId="0" fontId="3" fillId="2" borderId="0" xfId="0" applyFont="1" applyFill="1"/>
    <xf numFmtId="1" fontId="1" fillId="0" borderId="0" xfId="0" applyNumberFormat="1" applyFont="1"/>
    <xf numFmtId="1" fontId="1" fillId="3" borderId="0" xfId="0" applyNumberFormat="1" applyFont="1" applyFill="1"/>
    <xf numFmtId="0" fontId="3" fillId="0" borderId="0" xfId="0" applyFont="1"/>
    <xf numFmtId="0" fontId="3" fillId="3" borderId="0" xfId="0" applyFont="1" applyFill="1"/>
    <xf numFmtId="2" fontId="1" fillId="3" borderId="0" xfId="0" applyNumberFormat="1" applyFont="1" applyFill="1"/>
    <xf numFmtId="0" fontId="4" fillId="3" borderId="0" xfId="0" applyFont="1" applyFill="1"/>
    <xf numFmtId="0" fontId="4" fillId="2" borderId="0" xfId="0" applyFont="1" applyFill="1"/>
    <xf numFmtId="1" fontId="1" fillId="0" borderId="1" xfId="0" applyNumberFormat="1" applyFont="1" applyBorder="1"/>
    <xf numFmtId="0" fontId="1" fillId="0" borderId="1" xfId="0" applyFont="1" applyBorder="1"/>
    <xf numFmtId="0" fontId="5" fillId="0" borderId="0" xfId="0" applyFont="1"/>
    <xf numFmtId="10" fontId="1" fillId="3" borderId="0" xfId="0" applyNumberFormat="1" applyFont="1" applyFill="1"/>
    <xf numFmtId="0" fontId="5" fillId="3" borderId="0" xfId="0" applyFont="1" applyFill="1"/>
    <xf numFmtId="10" fontId="1" fillId="0" borderId="1" xfId="0" applyNumberFormat="1" applyFont="1" applyBorder="1"/>
    <xf numFmtId="10" fontId="1" fillId="0" borderId="0" xfId="0" applyNumberFormat="1" applyFont="1"/>
    <xf numFmtId="172" fontId="2" fillId="0" borderId="0" xfId="0" applyNumberFormat="1" applyFont="1"/>
    <xf numFmtId="0" fontId="5" fillId="4" borderId="0" xfId="0" applyFont="1" applyFill="1"/>
    <xf numFmtId="1" fontId="5" fillId="0" borderId="0" xfId="0" applyNumberFormat="1" applyFont="1"/>
    <xf numFmtId="0" fontId="6" fillId="3" borderId="0" xfId="0" applyFont="1" applyFill="1"/>
    <xf numFmtId="1" fontId="6" fillId="3" borderId="0" xfId="0" applyNumberFormat="1" applyFont="1" applyFill="1"/>
    <xf numFmtId="1" fontId="5" fillId="3" borderId="0" xfId="0" applyNumberFormat="1" applyFont="1" applyFill="1"/>
    <xf numFmtId="0" fontId="6" fillId="0" borderId="0" xfId="0" applyFont="1"/>
    <xf numFmtId="1" fontId="6" fillId="0" borderId="0" xfId="0" applyNumberFormat="1" applyFont="1"/>
    <xf numFmtId="0" fontId="5" fillId="3" borderId="0" xfId="0" applyFont="1" applyFill="1" applyAlignment="1">
      <alignment horizontal="right"/>
    </xf>
    <xf numFmtId="0" fontId="5" fillId="0" borderId="0" xfId="0" applyFont="1" applyAlignment="1">
      <alignment horizontal="right"/>
    </xf>
    <xf numFmtId="2" fontId="5" fillId="0" borderId="0" xfId="0" applyNumberFormat="1" applyFont="1"/>
    <xf numFmtId="10" fontId="5" fillId="0" borderId="0" xfId="0" applyNumberFormat="1" applyFont="1"/>
    <xf numFmtId="170" fontId="5" fillId="0" borderId="0" xfId="0" applyNumberFormat="1" applyFont="1"/>
    <xf numFmtId="0" fontId="7" fillId="6" borderId="0" xfId="0" applyFont="1" applyFill="1"/>
    <xf numFmtId="0" fontId="5" fillId="7" borderId="0" xfId="0" applyFont="1" applyFill="1"/>
    <xf numFmtId="0" fontId="7" fillId="8" borderId="2" xfId="0" applyFont="1" applyFill="1" applyBorder="1"/>
    <xf numFmtId="0" fontId="5" fillId="9" borderId="0" xfId="0" applyFont="1" applyFill="1"/>
    <xf numFmtId="0" fontId="5" fillId="10" borderId="0" xfId="0" applyFont="1" applyFill="1"/>
    <xf numFmtId="0" fontId="7" fillId="11" borderId="2" xfId="0" applyFont="1" applyFill="1" applyBorder="1"/>
    <xf numFmtId="0" fontId="1" fillId="12" borderId="0" xfId="0" applyFont="1" applyFill="1"/>
    <xf numFmtId="0" fontId="7" fillId="13" borderId="0" xfId="0" applyFont="1" applyFill="1"/>
    <xf numFmtId="0" fontId="3" fillId="14" borderId="0" xfId="0" applyFont="1" applyFill="1"/>
    <xf numFmtId="0" fontId="1" fillId="14" borderId="0" xfId="0" applyFont="1" applyFill="1"/>
    <xf numFmtId="0" fontId="5" fillId="15" borderId="0" xfId="0" applyFont="1" applyFill="1"/>
    <xf numFmtId="2" fontId="5" fillId="15" borderId="0" xfId="0" applyNumberFormat="1" applyFont="1" applyFill="1"/>
    <xf numFmtId="10" fontId="5" fillId="15" borderId="0" xfId="0" applyNumberFormat="1" applyFont="1" applyFill="1"/>
    <xf numFmtId="0" fontId="5" fillId="0" borderId="3" xfId="0" applyFont="1" applyBorder="1"/>
    <xf numFmtId="2" fontId="5" fillId="0" borderId="3" xfId="0" applyNumberFormat="1" applyFont="1" applyBorder="1"/>
    <xf numFmtId="10" fontId="5" fillId="0" borderId="3" xfId="0" applyNumberFormat="1" applyFont="1" applyBorder="1"/>
    <xf numFmtId="0" fontId="3" fillId="7" borderId="0" xfId="0" applyFont="1" applyFill="1"/>
    <xf numFmtId="0" fontId="1" fillId="7" borderId="0" xfId="0" applyFont="1" applyFill="1"/>
    <xf numFmtId="0" fontId="9" fillId="0" borderId="0" xfId="0" applyFont="1"/>
    <xf numFmtId="0" fontId="10" fillId="0" borderId="0" xfId="0" applyFont="1"/>
    <xf numFmtId="0" fontId="12" fillId="0" borderId="0" xfId="0" applyFont="1"/>
    <xf numFmtId="1" fontId="9" fillId="0" borderId="0" xfId="0" applyNumberFormat="1" applyFont="1"/>
    <xf numFmtId="0" fontId="14" fillId="3" borderId="0" xfId="0" applyFont="1" applyFill="1"/>
    <xf numFmtId="3" fontId="2" fillId="0" borderId="0" xfId="0" applyNumberFormat="1" applyFont="1"/>
    <xf numFmtId="0" fontId="11" fillId="0" borderId="0" xfId="0" applyFont="1" applyAlignment="1">
      <alignment horizontal="center"/>
    </xf>
    <xf numFmtId="170" fontId="2" fillId="0" borderId="0" xfId="0" applyNumberFormat="1" applyFont="1"/>
    <xf numFmtId="0" fontId="15" fillId="0" borderId="0" xfId="0" applyFont="1"/>
    <xf numFmtId="0" fontId="16" fillId="3" borderId="4" xfId="0" applyFont="1" applyFill="1" applyBorder="1" applyAlignment="1">
      <alignment vertical="top"/>
    </xf>
    <xf numFmtId="0" fontId="17" fillId="0" borderId="4" xfId="0" applyFont="1" applyBorder="1" applyAlignment="1">
      <alignment vertical="top"/>
    </xf>
    <xf numFmtId="177" fontId="5" fillId="3" borderId="0" xfId="0" applyNumberFormat="1" applyFont="1" applyFill="1"/>
    <xf numFmtId="0" fontId="18" fillId="0" borderId="4" xfId="0" applyFont="1" applyBorder="1" applyAlignment="1">
      <alignment horizontal="center" vertical="top"/>
    </xf>
    <xf numFmtId="0" fontId="18" fillId="0" borderId="5" xfId="0" applyFont="1" applyBorder="1" applyAlignment="1">
      <alignment horizontal="center" vertical="top"/>
    </xf>
    <xf numFmtId="172" fontId="17" fillId="0" borderId="4" xfId="0" applyNumberFormat="1" applyFont="1" applyBorder="1" applyAlignment="1">
      <alignment vertical="top"/>
    </xf>
    <xf numFmtId="172" fontId="16" fillId="3" borderId="4" xfId="0" applyNumberFormat="1" applyFont="1" applyFill="1" applyBorder="1" applyAlignment="1">
      <alignment vertical="top"/>
    </xf>
    <xf numFmtId="4" fontId="1" fillId="3" borderId="0" xfId="0" applyNumberFormat="1" applyFont="1" applyFill="1"/>
    <xf numFmtId="0" fontId="5" fillId="3" borderId="3" xfId="0" applyFont="1" applyFill="1" applyBorder="1" applyAlignment="1">
      <alignment horizontal="right"/>
    </xf>
    <xf numFmtId="0" fontId="8" fillId="0" borderId="3" xfId="0" applyFont="1" applyBorder="1"/>
    <xf numFmtId="0" fontId="5" fillId="3" borderId="0" xfId="0" applyFont="1" applyFill="1" applyAlignment="1">
      <alignment horizontal="right"/>
    </xf>
    <xf numFmtId="0" fontId="0" fillId="0" borderId="0" xfId="0"/>
    <xf numFmtId="0" fontId="1" fillId="3" borderId="0" xfId="0" applyFont="1" applyFill="1" applyAlignment="1">
      <alignment horizontal="right"/>
    </xf>
    <xf numFmtId="0" fontId="1"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5915025</xdr:colOff>
      <xdr:row>41</xdr:row>
      <xdr:rowOff>66675</xdr:rowOff>
    </xdr:from>
    <xdr:ext cx="4876800" cy="3638550"/>
    <xdr:pic>
      <xdr:nvPicPr>
        <xdr:cNvPr id="2" name="image1.png" title="Image">
          <a:extLst>
            <a:ext uri="{FF2B5EF4-FFF2-40B4-BE49-F238E27FC236}">
              <a16:creationId xmlns:a16="http://schemas.microsoft.com/office/drawing/2014/main" id="{00000000-0008-0000-1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usinessconsultingagency.com/understanding-business-startup-cost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G1009"/>
  <sheetViews>
    <sheetView workbookViewId="0">
      <selection activeCell="B27" sqref="B27"/>
    </sheetView>
  </sheetViews>
  <sheetFormatPr baseColWidth="10" defaultColWidth="12.6640625" defaultRowHeight="15.75" customHeight="1"/>
  <cols>
    <col min="1" max="1" width="17.33203125" customWidth="1"/>
    <col min="2" max="2" width="46.1640625" customWidth="1"/>
    <col min="3" max="3" width="21.1640625" customWidth="1"/>
    <col min="5" max="5" width="13.6640625" customWidth="1"/>
  </cols>
  <sheetData>
    <row r="1" spans="1:33" ht="13">
      <c r="A1" s="36" t="s">
        <v>75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row>
    <row r="2" spans="1:33" ht="13">
      <c r="A2" s="37" t="s">
        <v>76</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row>
    <row r="3" spans="1:33" ht="13">
      <c r="A3" s="24" t="s">
        <v>77</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row>
    <row r="4" spans="1:33" ht="13">
      <c r="A4" s="24" t="s">
        <v>78</v>
      </c>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row>
    <row r="5" spans="1:33" ht="13">
      <c r="A5" s="24" t="s">
        <v>79</v>
      </c>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row>
    <row r="6" spans="1:33" ht="1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row>
    <row r="7" spans="1:33" ht="13">
      <c r="A7" s="37" t="s">
        <v>3</v>
      </c>
      <c r="B7" s="37" t="s">
        <v>80</v>
      </c>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row>
    <row r="8" spans="1:33" ht="1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row>
    <row r="9" spans="1:33" ht="1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row>
    <row r="10" spans="1:33" ht="1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row>
    <row r="11" spans="1:33" ht="1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row>
    <row r="12" spans="1:33" ht="1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row>
    <row r="13" spans="1:33" ht="13">
      <c r="A13" s="38" t="s">
        <v>81</v>
      </c>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row>
    <row r="14" spans="1:33" ht="13">
      <c r="A14" s="39" t="s">
        <v>6</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row>
    <row r="15" spans="1:33" ht="13">
      <c r="A15" s="40" t="s">
        <v>7</v>
      </c>
      <c r="B15" s="40" t="s">
        <v>8</v>
      </c>
      <c r="C15" s="40" t="s">
        <v>9</v>
      </c>
      <c r="D15" s="40" t="s">
        <v>21</v>
      </c>
      <c r="E15" s="40" t="s">
        <v>10</v>
      </c>
      <c r="F15" s="40" t="s">
        <v>11</v>
      </c>
      <c r="G15" s="40" t="s">
        <v>12</v>
      </c>
      <c r="H15" s="40" t="s">
        <v>13</v>
      </c>
      <c r="I15" s="40" t="s">
        <v>82</v>
      </c>
      <c r="J15" s="40" t="s">
        <v>83</v>
      </c>
      <c r="K15" s="40"/>
      <c r="L15" s="40"/>
      <c r="M15" s="40"/>
      <c r="N15" s="40"/>
      <c r="O15" s="40"/>
      <c r="P15" s="40"/>
      <c r="Q15" s="40"/>
      <c r="R15" s="40"/>
      <c r="S15" s="40"/>
      <c r="T15" s="40"/>
      <c r="U15" s="40"/>
      <c r="V15" s="40"/>
      <c r="W15" s="40"/>
      <c r="X15" s="40"/>
      <c r="Y15" s="40"/>
      <c r="Z15" s="40"/>
      <c r="AA15" s="40"/>
      <c r="AB15" s="40"/>
      <c r="AC15" s="40"/>
      <c r="AD15" s="40"/>
      <c r="AE15" s="40"/>
      <c r="AF15" s="40"/>
      <c r="AG15" s="40"/>
    </row>
    <row r="16" spans="1:33" ht="13">
      <c r="A16" s="20"/>
      <c r="C16" s="18"/>
      <c r="D16" s="18"/>
      <c r="E16" s="18"/>
      <c r="F16" s="18"/>
      <c r="G16" s="25"/>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row>
    <row r="17" spans="1:33" ht="13">
      <c r="A17" s="20"/>
      <c r="B17" s="20"/>
      <c r="C17" s="18"/>
      <c r="D17" s="18"/>
      <c r="E17" s="18"/>
      <c r="F17" s="18"/>
      <c r="G17" s="25"/>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row>
    <row r="18" spans="1:33" ht="13">
      <c r="A18" s="20"/>
      <c r="B18" s="18"/>
      <c r="C18" s="18"/>
      <c r="D18" s="18"/>
      <c r="E18" s="18"/>
      <c r="F18" s="18"/>
      <c r="G18" s="25"/>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row>
    <row r="19" spans="1:33" ht="13">
      <c r="A19" s="20"/>
      <c r="B19" s="18"/>
      <c r="C19" s="18"/>
      <c r="D19" s="18"/>
      <c r="E19" s="18"/>
      <c r="F19" s="18"/>
      <c r="G19" s="25"/>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row>
    <row r="20" spans="1:33" ht="13">
      <c r="A20" s="20"/>
      <c r="B20" s="18"/>
      <c r="C20" s="18"/>
      <c r="D20" s="18"/>
      <c r="E20" s="18"/>
      <c r="F20" s="18"/>
      <c r="G20" s="25"/>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row>
    <row r="21" spans="1:33" ht="13">
      <c r="A21" s="20"/>
      <c r="C21" s="18"/>
      <c r="D21" s="18"/>
      <c r="E21" s="18"/>
      <c r="F21" s="18"/>
      <c r="G21" s="25"/>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row>
    <row r="22" spans="1:33" ht="13">
      <c r="A22" s="20"/>
      <c r="B22" s="18"/>
      <c r="C22" s="18"/>
      <c r="D22" s="18"/>
      <c r="E22" s="18"/>
      <c r="F22" s="18"/>
      <c r="G22" s="25"/>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row>
    <row r="23" spans="1:33" ht="13">
      <c r="A23" s="26"/>
      <c r="B23" s="26"/>
      <c r="C23" s="26"/>
      <c r="D23" s="26"/>
      <c r="E23" s="26"/>
      <c r="F23" s="26"/>
      <c r="G23" s="27"/>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row>
    <row r="24" spans="1:33" ht="13">
      <c r="A24" s="20"/>
      <c r="B24" s="20"/>
      <c r="C24" s="20"/>
      <c r="D24" s="20"/>
      <c r="E24" s="20"/>
      <c r="F24" s="20"/>
      <c r="G24" s="28"/>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row>
    <row r="25" spans="1:33" ht="13">
      <c r="A25" s="20"/>
      <c r="B25" s="20"/>
      <c r="C25" s="20"/>
      <c r="D25" s="20"/>
      <c r="E25" s="20"/>
      <c r="F25" s="20"/>
      <c r="G25" s="28"/>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row>
    <row r="26" spans="1:33" ht="13">
      <c r="A26" s="29"/>
      <c r="B26" s="29"/>
      <c r="C26" s="29"/>
      <c r="D26" s="29"/>
      <c r="E26" s="29"/>
      <c r="F26" s="29"/>
      <c r="G26" s="30"/>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row>
    <row r="27" spans="1:33" ht="13">
      <c r="A27" s="20"/>
      <c r="B27" s="20"/>
      <c r="C27" s="20"/>
      <c r="D27" s="20"/>
      <c r="E27" s="20"/>
      <c r="F27" s="28"/>
      <c r="G27" s="28"/>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row>
    <row r="28" spans="1:33" ht="13.5" customHeight="1">
      <c r="A28" s="20"/>
      <c r="B28" s="20"/>
      <c r="C28" s="20"/>
      <c r="D28" s="20"/>
      <c r="E28" s="20"/>
      <c r="F28" s="28"/>
      <c r="G28" s="28"/>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row>
    <row r="29" spans="1:33" ht="13">
      <c r="A29" s="18"/>
      <c r="B29" s="18"/>
      <c r="C29" s="18"/>
      <c r="D29" s="18"/>
      <c r="E29" s="18"/>
      <c r="F29" s="18"/>
      <c r="G29" s="25"/>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row>
    <row r="30" spans="1:33" ht="1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row>
    <row r="31" spans="1:33" ht="1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row>
    <row r="32" spans="1:33" ht="1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row>
    <row r="33" spans="1:33" ht="13">
      <c r="A33" s="41" t="s">
        <v>84</v>
      </c>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row>
    <row r="34" spans="1:33" ht="13">
      <c r="A34" s="42" t="s">
        <v>85</v>
      </c>
      <c r="B34" s="42" t="s">
        <v>12</v>
      </c>
      <c r="C34" s="42" t="s">
        <v>13</v>
      </c>
      <c r="D34" s="42" t="s">
        <v>56</v>
      </c>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row>
    <row r="35" spans="1:33" ht="13">
      <c r="A35" s="31"/>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row>
    <row r="37" spans="1:33" ht="13">
      <c r="A37" s="31"/>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row>
    <row r="38" spans="1:33" ht="13">
      <c r="A38" s="32"/>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row>
    <row r="39" spans="1:33" ht="13">
      <c r="A39" s="42" t="s">
        <v>86</v>
      </c>
      <c r="B39" s="42" t="s">
        <v>12</v>
      </c>
      <c r="C39" s="42" t="s">
        <v>13</v>
      </c>
      <c r="D39" s="42" t="s">
        <v>56</v>
      </c>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row>
    <row r="40" spans="1:33" ht="13">
      <c r="A40" s="31"/>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spans="1:33" ht="13">
      <c r="A41" s="31"/>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spans="1:33" ht="13">
      <c r="A42" s="32"/>
      <c r="B42" s="20"/>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row>
    <row r="43" spans="1:33" ht="13">
      <c r="A43" s="43" t="s">
        <v>87</v>
      </c>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row>
    <row r="44" spans="1:33" ht="13">
      <c r="A44" s="44" t="s">
        <v>19</v>
      </c>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row>
    <row r="45" spans="1:33" ht="13">
      <c r="A45" s="46" t="s">
        <v>88</v>
      </c>
      <c r="B45" s="46" t="s">
        <v>8</v>
      </c>
      <c r="C45" s="46" t="s">
        <v>19</v>
      </c>
      <c r="D45" s="47" t="s">
        <v>57</v>
      </c>
      <c r="E45" s="46"/>
      <c r="F45" s="48"/>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row>
    <row r="46" spans="1:33" ht="13">
      <c r="A46" s="18"/>
      <c r="B46" s="20"/>
      <c r="C46" s="18"/>
      <c r="D46" s="33"/>
      <c r="E46" s="18"/>
      <c r="F46" s="34"/>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row>
    <row r="47" spans="1:33" ht="13">
      <c r="A47" s="20"/>
      <c r="B47" s="18"/>
      <c r="C47" s="18"/>
      <c r="D47" s="33"/>
      <c r="E47" s="18"/>
      <c r="F47" s="34"/>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row>
    <row r="48" spans="1:33" ht="13">
      <c r="A48" s="18"/>
      <c r="B48" s="18"/>
      <c r="C48" s="18"/>
      <c r="D48" s="33"/>
      <c r="E48" s="18"/>
      <c r="F48" s="34"/>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row>
    <row r="49" spans="1:33" ht="13">
      <c r="A49" s="18"/>
      <c r="B49" s="18"/>
      <c r="C49" s="25"/>
      <c r="D49" s="33"/>
      <c r="E49" s="25"/>
      <c r="F49" s="34"/>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row>
    <row r="50" spans="1:33" ht="13">
      <c r="A50" s="20"/>
      <c r="B50" s="20"/>
      <c r="C50" s="25"/>
      <c r="D50" s="33"/>
      <c r="E50" s="18"/>
      <c r="F50" s="34"/>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row>
    <row r="51" spans="1:33" ht="13">
      <c r="A51" s="20"/>
      <c r="B51" s="20"/>
      <c r="C51" s="18"/>
      <c r="D51" s="33"/>
      <c r="E51" s="18"/>
      <c r="F51" s="34"/>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row>
    <row r="52" spans="1:33" ht="13">
      <c r="A52" s="18"/>
      <c r="B52" s="18"/>
      <c r="C52" s="18"/>
      <c r="D52" s="33"/>
      <c r="E52" s="18"/>
      <c r="F52" s="34"/>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row>
    <row r="53" spans="1:33" ht="13">
      <c r="A53" s="71" t="s">
        <v>89</v>
      </c>
      <c r="B53" s="72"/>
      <c r="C53" s="49"/>
      <c r="D53" s="50"/>
      <c r="E53" s="49"/>
      <c r="F53" s="51"/>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row>
    <row r="54" spans="1:33" ht="13">
      <c r="A54" s="73" t="s">
        <v>90</v>
      </c>
      <c r="B54" s="74"/>
      <c r="C54" s="18"/>
      <c r="D54" s="18"/>
      <c r="E54" s="18"/>
      <c r="F54" s="34"/>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row>
    <row r="55" spans="1:33" ht="13">
      <c r="A55" s="75" t="s">
        <v>91</v>
      </c>
      <c r="B55" s="74"/>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spans="1:33" ht="13">
      <c r="A56" s="1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spans="1:33" ht="13">
      <c r="A57" s="52" t="s">
        <v>92</v>
      </c>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row>
    <row r="58" spans="1:33" ht="13">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row>
    <row r="59" spans="1:33" ht="13">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row>
    <row r="60" spans="1:33" ht="13">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row>
    <row r="61" spans="1:33" ht="13">
      <c r="A61" s="18"/>
      <c r="B61" s="18"/>
      <c r="C61" s="25"/>
      <c r="D61" s="35"/>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row>
    <row r="62" spans="1:33" ht="13">
      <c r="A62" s="18"/>
      <c r="B62" s="18"/>
      <c r="C62" s="25"/>
      <c r="D62" s="35"/>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row>
    <row r="63" spans="1:33" ht="1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row>
    <row r="64" spans="1:33" ht="13">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row>
    <row r="65" spans="1:33" ht="13">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row>
    <row r="66" spans="1:33" ht="13">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row>
    <row r="67" spans="1:33" ht="13">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row>
    <row r="68" spans="1:33" ht="13">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row>
    <row r="69" spans="1:33" ht="13">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row>
    <row r="70" spans="1:33" ht="13">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row>
    <row r="71" spans="1:33" ht="13">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row>
    <row r="72" spans="1:33" ht="13">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row>
    <row r="73" spans="1:33" ht="1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row>
    <row r="74" spans="1:33" ht="13">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row>
    <row r="75" spans="1:33" ht="13">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row>
    <row r="76" spans="1:33" ht="13">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row>
    <row r="77" spans="1:33" ht="13">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row>
    <row r="78" spans="1:33" ht="13">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row>
    <row r="79" spans="1:33" ht="13">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row>
    <row r="80" spans="1:33" ht="13">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row>
    <row r="81" spans="1:33" ht="13">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row>
    <row r="82" spans="1:33" ht="13">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row>
    <row r="83" spans="1:33" ht="1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row>
    <row r="84" spans="1:33" ht="13">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row>
    <row r="85" spans="1:33" ht="13">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row>
    <row r="86" spans="1:33" ht="13">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row>
    <row r="87" spans="1:33" ht="13">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row>
    <row r="88" spans="1:33" ht="13">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row>
    <row r="89" spans="1:33" ht="13">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row>
    <row r="90" spans="1:33" ht="13">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row>
    <row r="91" spans="1:33" ht="13">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row>
    <row r="92" spans="1:33" ht="13">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row>
    <row r="93" spans="1:33" ht="1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row>
    <row r="94" spans="1:33" ht="13">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row>
    <row r="95" spans="1:33" ht="13">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row>
    <row r="96" spans="1:33" ht="13">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row>
    <row r="97" spans="1:33" ht="13">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row>
    <row r="98" spans="1:33" ht="13">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row>
    <row r="99" spans="1:33" ht="13">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row>
    <row r="100" spans="1:33" ht="13">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row>
    <row r="101" spans="1:33" ht="13">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row>
    <row r="102" spans="1:33" ht="13">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row>
    <row r="103" spans="1:33" ht="1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row>
    <row r="104" spans="1:33" ht="13">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row>
    <row r="105" spans="1:33" ht="13">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row>
    <row r="106" spans="1:33" ht="13">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row>
    <row r="107" spans="1:33" ht="13">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row>
    <row r="108" spans="1:33" ht="13">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row>
    <row r="109" spans="1:33" ht="13">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row>
    <row r="110" spans="1:33" ht="13">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row>
    <row r="111" spans="1:33" ht="13">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row>
    <row r="112" spans="1:33" ht="13">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row>
    <row r="113" spans="1:33" ht="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row>
    <row r="114" spans="1:33" ht="13">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row>
    <row r="115" spans="1:33" ht="13">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row>
    <row r="116" spans="1:33" ht="13">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row>
    <row r="117" spans="1:33" ht="13">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row>
    <row r="118" spans="1:33" ht="13">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row>
    <row r="119" spans="1:33" ht="13">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row>
    <row r="120" spans="1:33" ht="13">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row>
    <row r="121" spans="1:33" ht="13">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row>
    <row r="122" spans="1:33" ht="13">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row>
    <row r="123" spans="1:33" ht="1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row>
    <row r="124" spans="1:33" ht="13">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row>
    <row r="125" spans="1:33" ht="13">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row>
    <row r="126" spans="1:33" ht="13">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row>
    <row r="127" spans="1:33" ht="13">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row>
    <row r="128" spans="1:33" ht="13">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row>
    <row r="129" spans="1:33" ht="13">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row>
    <row r="130" spans="1:33" ht="13">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row>
    <row r="131" spans="1:33" ht="13">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row>
    <row r="132" spans="1:33" ht="13">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row>
    <row r="133" spans="1:33" ht="1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row>
    <row r="134" spans="1:33" ht="13">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row>
    <row r="135" spans="1:33" ht="13">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row>
    <row r="136" spans="1:33" ht="13">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row>
    <row r="137" spans="1:33" ht="13">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row>
    <row r="138" spans="1:33" ht="13">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row>
    <row r="139" spans="1:33" ht="13">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row>
    <row r="140" spans="1:33" ht="13">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row>
    <row r="141" spans="1:33" ht="13">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row>
    <row r="142" spans="1:33" ht="13">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row>
    <row r="143" spans="1:33" ht="1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row>
    <row r="144" spans="1:33" ht="13">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row>
    <row r="145" spans="1:33" ht="13">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row>
    <row r="146" spans="1:33" ht="13">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row>
    <row r="147" spans="1:33" ht="13">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row>
    <row r="148" spans="1:33" ht="13">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row>
    <row r="149" spans="1:33" ht="13">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row>
    <row r="150" spans="1:33" ht="13">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row>
    <row r="151" spans="1:33" ht="13">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row>
    <row r="152" spans="1:33" ht="13">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row>
    <row r="153" spans="1:33" ht="1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row>
    <row r="154" spans="1:33" ht="13">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row>
    <row r="155" spans="1:33" ht="13">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row>
    <row r="156" spans="1:33" ht="13">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row>
    <row r="157" spans="1:33" ht="13">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row>
    <row r="158" spans="1:33" ht="13">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row>
    <row r="159" spans="1:33" ht="13">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row>
    <row r="160" spans="1:33" ht="13">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row>
    <row r="161" spans="1:33" ht="13">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row>
    <row r="162" spans="1:33" ht="13">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row>
    <row r="163" spans="1:33" ht="1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row>
    <row r="164" spans="1:33" ht="13">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row>
    <row r="165" spans="1:33" ht="13">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row>
    <row r="166" spans="1:33" ht="13">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row>
    <row r="167" spans="1:33" ht="13">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row>
    <row r="168" spans="1:33" ht="13">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row>
    <row r="169" spans="1:33" ht="13">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row>
    <row r="170" spans="1:33" ht="13">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row>
    <row r="171" spans="1:33" ht="13">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row>
    <row r="172" spans="1:33" ht="13">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row>
    <row r="173" spans="1:33" ht="1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row>
    <row r="174" spans="1:33" ht="13">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row>
    <row r="175" spans="1:33" ht="13">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row>
    <row r="176" spans="1:33" ht="13">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row>
    <row r="177" spans="1:33" ht="13">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row>
    <row r="178" spans="1:33" ht="13">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row>
    <row r="179" spans="1:33" ht="13">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row>
    <row r="180" spans="1:33" ht="13">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row>
    <row r="181" spans="1:33" ht="13">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row>
    <row r="182" spans="1:33" ht="13">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row>
    <row r="183" spans="1:33" ht="1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row>
    <row r="184" spans="1:33" ht="13">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row>
    <row r="185" spans="1:33" ht="13">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row>
    <row r="186" spans="1:33" ht="13">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row>
    <row r="187" spans="1:33" ht="13">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row>
    <row r="188" spans="1:33" ht="13">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row>
    <row r="189" spans="1:33" ht="13">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row>
    <row r="190" spans="1:33" ht="13">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row>
    <row r="191" spans="1:33" ht="13">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row>
    <row r="192" spans="1:33" ht="13">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row>
    <row r="193" spans="1:33" ht="1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row>
    <row r="194" spans="1:33" ht="13">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row>
    <row r="195" spans="1:33" ht="13">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row>
    <row r="196" spans="1:33" ht="13">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row>
    <row r="197" spans="1:33" ht="13">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row>
    <row r="198" spans="1:33" ht="13">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row>
    <row r="199" spans="1:33" ht="13">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row>
    <row r="200" spans="1:33" ht="13">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row>
    <row r="201" spans="1:33" ht="13">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row>
    <row r="202" spans="1:33" ht="13">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row>
    <row r="203" spans="1:33" ht="1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row>
    <row r="204" spans="1:33" ht="13">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row>
    <row r="205" spans="1:33" ht="13">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row>
    <row r="206" spans="1:33" ht="13">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row>
    <row r="207" spans="1:33" ht="13">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row>
    <row r="208" spans="1:33" ht="13">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row>
    <row r="209" spans="1:33" ht="13">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row>
    <row r="210" spans="1:33" ht="13">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row>
    <row r="211" spans="1:33" ht="13">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row>
    <row r="212" spans="1:33" ht="13">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row>
    <row r="213" spans="1:33" ht="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row>
    <row r="214" spans="1:33" ht="13">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row>
    <row r="215" spans="1:33" ht="13">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row>
    <row r="216" spans="1:33" ht="13">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row>
    <row r="217" spans="1:33" ht="13">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row>
    <row r="218" spans="1:33" ht="13">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row>
    <row r="219" spans="1:33" ht="13">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row>
    <row r="220" spans="1:33" ht="13">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row>
    <row r="221" spans="1:33" ht="13">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row>
    <row r="222" spans="1:33" ht="13">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row>
    <row r="223" spans="1:33" ht="1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row>
    <row r="224" spans="1:33" ht="13">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row>
    <row r="225" spans="1:33" ht="13">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row>
    <row r="226" spans="1:33" ht="13">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row>
    <row r="227" spans="1:33" ht="13">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row>
    <row r="228" spans="1:33" ht="13">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row>
    <row r="229" spans="1:33" ht="13">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row>
    <row r="230" spans="1:33" ht="13">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row>
    <row r="231" spans="1:33" ht="13">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row>
    <row r="232" spans="1:33" ht="13">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row>
    <row r="233" spans="1:33" ht="1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row>
    <row r="234" spans="1:33" ht="13">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row>
    <row r="235" spans="1:33" ht="13">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row>
    <row r="236" spans="1:33" ht="13">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row>
    <row r="237" spans="1:33" ht="13">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row>
    <row r="238" spans="1:33" ht="13">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row>
    <row r="239" spans="1:33" ht="13">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row>
    <row r="240" spans="1:33" ht="13">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row>
    <row r="241" spans="1:33" ht="13">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row>
    <row r="242" spans="1:33" ht="13">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row>
    <row r="243" spans="1:33" ht="1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row>
    <row r="244" spans="1:33" ht="13">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row>
    <row r="245" spans="1:33" ht="13">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row>
    <row r="246" spans="1:33" ht="13">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row>
    <row r="247" spans="1:33" ht="13">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row>
    <row r="248" spans="1:33" ht="13">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row>
    <row r="249" spans="1:33" ht="13">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row>
    <row r="250" spans="1:33" ht="13">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row>
    <row r="251" spans="1:33" ht="13">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row>
    <row r="252" spans="1:33" ht="13">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row>
    <row r="253" spans="1:33" ht="1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row>
    <row r="254" spans="1:33" ht="13">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row>
    <row r="255" spans="1:33" ht="13">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row>
    <row r="256" spans="1:33" ht="13">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row>
    <row r="257" spans="1:33" ht="13">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row>
    <row r="258" spans="1:33" ht="13">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row>
    <row r="259" spans="1:33" ht="13">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row>
    <row r="260" spans="1:33" ht="13">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row>
    <row r="261" spans="1:33" ht="13">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row>
    <row r="262" spans="1:33" ht="13">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row>
    <row r="263" spans="1:33" ht="1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row>
    <row r="264" spans="1:33" ht="13">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row>
    <row r="265" spans="1:33" ht="13">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row>
    <row r="266" spans="1:33" ht="13">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row>
    <row r="267" spans="1:33" ht="13">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row>
    <row r="268" spans="1:33" ht="13">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row>
    <row r="269" spans="1:33" ht="13">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row>
    <row r="270" spans="1:33" ht="13">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row>
    <row r="271" spans="1:33" ht="13">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row>
    <row r="272" spans="1:33" ht="13">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row>
    <row r="273" spans="1:33" ht="1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row>
    <row r="274" spans="1:33" ht="13">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row>
    <row r="275" spans="1:33" ht="13">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row>
    <row r="276" spans="1:33" ht="13">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row>
    <row r="277" spans="1:33" ht="13">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row>
    <row r="278" spans="1:33" ht="13">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row>
    <row r="279" spans="1:33" ht="13">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row>
    <row r="280" spans="1:33" ht="13">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row>
    <row r="281" spans="1:33" ht="13">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row>
    <row r="282" spans="1:33" ht="13">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row>
    <row r="283" spans="1:33" ht="1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row>
    <row r="284" spans="1:33" ht="13">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row>
    <row r="285" spans="1:33" ht="13">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row>
    <row r="286" spans="1:33" ht="13">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row>
    <row r="287" spans="1:33" ht="13">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row>
    <row r="288" spans="1:33" ht="13">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row>
    <row r="289" spans="1:33" ht="13">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row>
    <row r="290" spans="1:33" ht="13">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row>
    <row r="291" spans="1:33" ht="13">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row>
    <row r="292" spans="1:33" ht="13">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row>
    <row r="293" spans="1:33" ht="1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row>
    <row r="294" spans="1:33" ht="13">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row>
    <row r="295" spans="1:33" ht="13">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row>
    <row r="296" spans="1:33" ht="13">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row>
    <row r="297" spans="1:33" ht="13">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row>
    <row r="298" spans="1:33" ht="13">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row>
    <row r="299" spans="1:33" ht="13">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row>
    <row r="300" spans="1:33" ht="13">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row>
    <row r="301" spans="1:33" ht="13">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row>
    <row r="302" spans="1:33" ht="13">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row>
    <row r="303" spans="1:33" ht="1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row>
    <row r="304" spans="1:33" ht="13">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row>
    <row r="305" spans="1:33" ht="13">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row>
    <row r="306" spans="1:33" ht="13">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row>
    <row r="307" spans="1:33" ht="13">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row>
    <row r="308" spans="1:33" ht="13">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row>
    <row r="309" spans="1:33" ht="13">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row>
    <row r="310" spans="1:33" ht="13">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row>
    <row r="311" spans="1:33" ht="13">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row>
    <row r="312" spans="1:33" ht="13">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row>
    <row r="313" spans="1:33" ht="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row>
    <row r="314" spans="1:33" ht="13">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row>
    <row r="315" spans="1:33" ht="13">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row>
    <row r="316" spans="1:33" ht="13">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row>
    <row r="317" spans="1:33" ht="13">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row>
    <row r="318" spans="1:33" ht="13">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row>
    <row r="319" spans="1:33" ht="13">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row>
    <row r="320" spans="1:33" ht="13">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row>
    <row r="321" spans="1:33" ht="13">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row>
    <row r="322" spans="1:33" ht="13">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row>
    <row r="323" spans="1:33" ht="1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row>
    <row r="324" spans="1:33" ht="13">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row>
    <row r="325" spans="1:33" ht="13">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row>
    <row r="326" spans="1:33" ht="13">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row>
    <row r="327" spans="1:33" ht="13">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row>
    <row r="328" spans="1:33" ht="13">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row>
    <row r="329" spans="1:33" ht="13">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row>
    <row r="330" spans="1:33" ht="13">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row>
    <row r="331" spans="1:33" ht="13">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row>
    <row r="332" spans="1:33" ht="13">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row>
    <row r="333" spans="1:33" ht="1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row>
    <row r="334" spans="1:33" ht="13">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row>
    <row r="335" spans="1:33" ht="13">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row>
    <row r="336" spans="1:33" ht="13">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row>
    <row r="337" spans="1:33" ht="13">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row>
    <row r="338" spans="1:33" ht="13">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row>
    <row r="339" spans="1:33" ht="13">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row>
    <row r="340" spans="1:33" ht="13">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row>
    <row r="341" spans="1:33" ht="13">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row>
    <row r="342" spans="1:33" ht="13">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row>
    <row r="343" spans="1:33" ht="1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row>
    <row r="344" spans="1:33" ht="13">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row>
    <row r="345" spans="1:33" ht="13">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row>
    <row r="346" spans="1:33" ht="13">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row>
    <row r="347" spans="1:33" ht="13">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row>
    <row r="348" spans="1:33" ht="13">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row>
    <row r="349" spans="1:33" ht="13">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row>
    <row r="350" spans="1:33" ht="13">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row>
    <row r="351" spans="1:33" ht="13">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row>
    <row r="352" spans="1:33" ht="13">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row>
    <row r="353" spans="1:33" ht="1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row>
    <row r="354" spans="1:33" ht="13">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row>
    <row r="355" spans="1:33" ht="13">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row>
    <row r="356" spans="1:33" ht="13">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row>
    <row r="357" spans="1:33" ht="13">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row>
    <row r="358" spans="1:33" ht="13">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row>
    <row r="359" spans="1:33" ht="13">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row>
    <row r="360" spans="1:33" ht="13">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row>
    <row r="361" spans="1:33" ht="13">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row>
    <row r="362" spans="1:33" ht="13">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row>
    <row r="363" spans="1:33" ht="1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row>
    <row r="364" spans="1:33" ht="13">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row>
    <row r="365" spans="1:33" ht="13">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row>
    <row r="366" spans="1:33" ht="13">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row>
    <row r="367" spans="1:33" ht="13">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row>
    <row r="368" spans="1:33" ht="13">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row>
    <row r="369" spans="1:33" ht="13">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row>
    <row r="370" spans="1:33" ht="13">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row>
    <row r="371" spans="1:33" ht="13">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row>
    <row r="372" spans="1:33" ht="13">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row>
    <row r="373" spans="1:33" ht="1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row>
    <row r="374" spans="1:33" ht="13">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row>
    <row r="375" spans="1:33" ht="13">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row>
    <row r="376" spans="1:33" ht="13">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row>
    <row r="377" spans="1:33" ht="13">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row>
    <row r="378" spans="1:33" ht="13">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row>
    <row r="379" spans="1:33" ht="13">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row>
    <row r="380" spans="1:33" ht="13">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row>
    <row r="381" spans="1:33" ht="13">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row>
    <row r="382" spans="1:33" ht="13">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row>
    <row r="383" spans="1:33" ht="1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row>
    <row r="384" spans="1:33" ht="13">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row>
    <row r="385" spans="1:33" ht="13">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row>
    <row r="386" spans="1:33" ht="13">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row>
    <row r="387" spans="1:33" ht="13">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row>
    <row r="388" spans="1:33" ht="13">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row>
    <row r="389" spans="1:33" ht="13">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row>
    <row r="390" spans="1:33" ht="13">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row>
    <row r="391" spans="1:33" ht="13">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row>
    <row r="392" spans="1:33" ht="13">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row>
    <row r="393" spans="1:33" ht="1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row>
    <row r="394" spans="1:33" ht="13">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row>
    <row r="395" spans="1:33" ht="13">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row>
    <row r="396" spans="1:33" ht="13">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row>
    <row r="397" spans="1:33" ht="13">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row>
    <row r="398" spans="1:33" ht="13">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row>
    <row r="399" spans="1:33" ht="13">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row>
    <row r="400" spans="1:33" ht="13">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row>
    <row r="401" spans="1:33" ht="13">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row>
    <row r="402" spans="1:33" ht="13">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row>
    <row r="403" spans="1:33" ht="1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row>
    <row r="404" spans="1:33" ht="13">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row>
    <row r="405" spans="1:33" ht="13">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row>
    <row r="406" spans="1:33" ht="13">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row>
    <row r="407" spans="1:33" ht="13">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row>
    <row r="408" spans="1:33" ht="13">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row>
    <row r="409" spans="1:33" ht="13">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row>
    <row r="410" spans="1:33" ht="13">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row>
    <row r="411" spans="1:33" ht="13">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row>
    <row r="412" spans="1:33" ht="13">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row>
    <row r="413" spans="1:33" ht="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row>
    <row r="414" spans="1:33" ht="13">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row>
    <row r="415" spans="1:33" ht="13">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row>
    <row r="416" spans="1:33" ht="13">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row>
    <row r="417" spans="1:33" ht="13">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row>
    <row r="418" spans="1:33" ht="13">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row>
    <row r="419" spans="1:33" ht="13">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row>
    <row r="420" spans="1:33" ht="13">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row>
    <row r="421" spans="1:33" ht="13">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row>
    <row r="422" spans="1:33" ht="13">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row>
    <row r="423" spans="1:33" ht="1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row>
    <row r="424" spans="1:33" ht="13">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row>
    <row r="425" spans="1:33" ht="13">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row>
    <row r="426" spans="1:33" ht="13">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row>
    <row r="427" spans="1:33" ht="13">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row>
    <row r="428" spans="1:33" ht="13">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row>
    <row r="429" spans="1:33" ht="13">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row>
    <row r="430" spans="1:33" ht="13">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row>
    <row r="431" spans="1:33" ht="13">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row>
    <row r="432" spans="1:33" ht="13">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row>
    <row r="433" spans="1:33" ht="1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row>
    <row r="434" spans="1:33" ht="13">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row>
    <row r="435" spans="1:33" ht="13">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row>
    <row r="436" spans="1:33" ht="13">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row>
    <row r="437" spans="1:33" ht="13">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row>
    <row r="438" spans="1:33" ht="13">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row>
    <row r="439" spans="1:33" ht="13">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row>
    <row r="440" spans="1:33" ht="13">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row>
    <row r="441" spans="1:33" ht="13">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row>
    <row r="442" spans="1:33" ht="13">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row>
    <row r="443" spans="1:33" ht="1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row>
    <row r="444" spans="1:33" ht="13">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row>
    <row r="445" spans="1:33" ht="13">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row>
    <row r="446" spans="1:33" ht="13">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row>
    <row r="447" spans="1:33" ht="13">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row>
    <row r="448" spans="1:33" ht="13">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row>
    <row r="449" spans="1:33" ht="13">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row>
    <row r="450" spans="1:33" ht="13">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row>
    <row r="451" spans="1:33" ht="13">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row>
    <row r="452" spans="1:33" ht="13">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row>
    <row r="453" spans="1:33" ht="1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row>
    <row r="454" spans="1:33" ht="13">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row>
    <row r="455" spans="1:33" ht="13">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row>
    <row r="456" spans="1:33" ht="13">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row>
    <row r="457" spans="1:33" ht="13">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row>
    <row r="458" spans="1:33" ht="13">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row>
    <row r="459" spans="1:33" ht="13">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row>
    <row r="460" spans="1:33" ht="13">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row>
    <row r="461" spans="1:33" ht="13">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row>
    <row r="462" spans="1:33" ht="13">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row>
    <row r="463" spans="1:33" ht="1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row>
    <row r="464" spans="1:33" ht="13">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row>
    <row r="465" spans="1:33" ht="13">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row>
    <row r="466" spans="1:33" ht="13">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row>
    <row r="467" spans="1:33" ht="13">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row>
    <row r="468" spans="1:33" ht="13">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row>
    <row r="469" spans="1:33" ht="13">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row>
    <row r="470" spans="1:33" ht="13">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row>
    <row r="471" spans="1:33" ht="13">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row>
    <row r="472" spans="1:33" ht="13">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row>
    <row r="473" spans="1:33" ht="1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row>
    <row r="474" spans="1:33" ht="13">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row>
    <row r="475" spans="1:33" ht="13">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row>
    <row r="476" spans="1:33" ht="13">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row>
    <row r="477" spans="1:33" ht="13">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row>
    <row r="478" spans="1:33" ht="13">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row>
    <row r="479" spans="1:33" ht="13">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row>
    <row r="480" spans="1:33" ht="13">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row>
    <row r="481" spans="1:33" ht="13">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row>
    <row r="482" spans="1:33" ht="13">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row>
    <row r="483" spans="1:33" ht="1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row>
    <row r="484" spans="1:33" ht="13">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row>
    <row r="485" spans="1:33" ht="13">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row>
    <row r="486" spans="1:33" ht="13">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row>
    <row r="487" spans="1:33" ht="13">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row>
    <row r="488" spans="1:33" ht="13">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row>
    <row r="489" spans="1:33" ht="13">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row>
    <row r="490" spans="1:33" ht="13">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row>
    <row r="491" spans="1:33" ht="13">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row>
    <row r="492" spans="1:33" ht="13">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row>
    <row r="493" spans="1:33" ht="1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row>
    <row r="494" spans="1:33" ht="13">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row>
    <row r="495" spans="1:33" ht="13">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row>
    <row r="496" spans="1:33" ht="13">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row>
    <row r="497" spans="1:33" ht="13">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row>
    <row r="498" spans="1:33" ht="13">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row>
    <row r="499" spans="1:33" ht="13">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row>
    <row r="500" spans="1:33" ht="13">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row>
    <row r="501" spans="1:33" ht="13">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row>
    <row r="502" spans="1:33" ht="13">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row>
    <row r="503" spans="1:33" ht="1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row>
    <row r="504" spans="1:33" ht="13">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row>
    <row r="505" spans="1:33" ht="13">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row>
    <row r="506" spans="1:33" ht="13">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row>
    <row r="507" spans="1:33" ht="13">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row>
    <row r="508" spans="1:33" ht="13">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row>
    <row r="509" spans="1:33" ht="13">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row>
    <row r="510" spans="1:33" ht="13">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row>
    <row r="511" spans="1:33" ht="13">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row>
    <row r="512" spans="1:33" ht="13">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row>
    <row r="513" spans="1:33" ht="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row>
    <row r="514" spans="1:33" ht="13">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row>
    <row r="515" spans="1:33" ht="13">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row>
    <row r="516" spans="1:33" ht="13">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row>
    <row r="517" spans="1:33" ht="13">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row>
    <row r="518" spans="1:33" ht="13">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row>
    <row r="519" spans="1:33" ht="13">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row>
    <row r="520" spans="1:33" ht="13">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row>
    <row r="521" spans="1:33" ht="13">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row>
    <row r="522" spans="1:33" ht="13">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row>
    <row r="523" spans="1:33" ht="1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row>
    <row r="524" spans="1:33" ht="13">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row>
    <row r="525" spans="1:33" ht="13">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row>
    <row r="526" spans="1:33" ht="13">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row>
    <row r="527" spans="1:33" ht="13">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row>
    <row r="528" spans="1:33" ht="13">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row>
    <row r="529" spans="1:33" ht="13">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row>
    <row r="530" spans="1:33" ht="13">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row>
    <row r="531" spans="1:33" ht="13">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row>
    <row r="532" spans="1:33" ht="13">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row>
    <row r="533" spans="1:33" ht="1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row>
    <row r="534" spans="1:33" ht="13">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row>
    <row r="535" spans="1:33" ht="13">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row>
    <row r="536" spans="1:33" ht="13">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row>
    <row r="537" spans="1:33" ht="13">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row>
    <row r="538" spans="1:33" ht="13">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row>
    <row r="539" spans="1:33" ht="13">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row>
    <row r="540" spans="1:33" ht="13">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row>
    <row r="541" spans="1:33" ht="13">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row>
    <row r="542" spans="1:33" ht="13">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row>
    <row r="543" spans="1:33" ht="1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row>
    <row r="544" spans="1:33" ht="13">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row>
    <row r="545" spans="1:33" ht="13">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row>
    <row r="546" spans="1:33" ht="13">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row>
    <row r="547" spans="1:33" ht="13">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row>
    <row r="548" spans="1:33" ht="13">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row>
    <row r="549" spans="1:33" ht="13">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row>
    <row r="550" spans="1:33" ht="13">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row>
    <row r="551" spans="1:33" ht="13">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row>
    <row r="552" spans="1:33" ht="13">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row>
    <row r="553" spans="1:33" ht="1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row>
    <row r="554" spans="1:33" ht="13">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row>
    <row r="555" spans="1:33" ht="13">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row>
    <row r="556" spans="1:33" ht="13">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row>
    <row r="557" spans="1:33" ht="13">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row>
    <row r="558" spans="1:33" ht="13">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row>
    <row r="559" spans="1:33" ht="13">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row>
    <row r="560" spans="1:33" ht="13">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row>
    <row r="561" spans="1:33" ht="13">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row>
    <row r="562" spans="1:33" ht="13">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row>
    <row r="563" spans="1:33" ht="1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row>
    <row r="564" spans="1:33" ht="13">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row>
    <row r="565" spans="1:33" ht="13">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row>
    <row r="566" spans="1:33" ht="13">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row>
    <row r="567" spans="1:33" ht="13">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row>
    <row r="568" spans="1:33" ht="13">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row>
    <row r="569" spans="1:33" ht="13">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row>
    <row r="570" spans="1:33" ht="13">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row>
    <row r="571" spans="1:33" ht="13">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row>
    <row r="572" spans="1:33" ht="13">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row>
    <row r="573" spans="1:33" ht="1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row>
    <row r="574" spans="1:33" ht="13">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row>
    <row r="575" spans="1:33" ht="13">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row>
    <row r="576" spans="1:33" ht="13">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row>
    <row r="577" spans="1:33" ht="13">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row>
    <row r="578" spans="1:33" ht="13">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row>
    <row r="579" spans="1:33" ht="13">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row>
    <row r="580" spans="1:33" ht="13">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row>
    <row r="581" spans="1:33" ht="13">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row>
    <row r="582" spans="1:33" ht="13">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row>
    <row r="583" spans="1:33" ht="1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row>
    <row r="584" spans="1:33" ht="13">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row>
    <row r="585" spans="1:33" ht="13">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row>
    <row r="586" spans="1:33" ht="13">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row>
    <row r="587" spans="1:33" ht="13">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row>
    <row r="588" spans="1:33" ht="13">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row>
    <row r="589" spans="1:33" ht="13">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row>
    <row r="590" spans="1:33" ht="13">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row>
    <row r="591" spans="1:33" ht="13">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row>
    <row r="592" spans="1:33" ht="13">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row>
    <row r="593" spans="1:33" ht="1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row>
    <row r="594" spans="1:33" ht="13">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row>
    <row r="595" spans="1:33" ht="13">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row>
    <row r="596" spans="1:33" ht="13">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row>
    <row r="597" spans="1:33" ht="13">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row>
    <row r="598" spans="1:33" ht="13">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row>
    <row r="599" spans="1:33" ht="13">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row>
    <row r="600" spans="1:33" ht="13">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row>
    <row r="601" spans="1:33" ht="13">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row>
    <row r="602" spans="1:33" ht="13">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row>
    <row r="603" spans="1:33" ht="1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row>
    <row r="604" spans="1:33" ht="13">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row>
    <row r="605" spans="1:33" ht="13">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row>
    <row r="606" spans="1:33" ht="13">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row>
    <row r="607" spans="1:33" ht="13">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row>
    <row r="608" spans="1:33" ht="13">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row>
    <row r="609" spans="1:33" ht="13">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row>
    <row r="610" spans="1:33" ht="13">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row>
    <row r="611" spans="1:33" ht="13">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row>
    <row r="612" spans="1:33" ht="13">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row>
    <row r="613" spans="1:33" ht="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row>
    <row r="614" spans="1:33" ht="13">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row>
    <row r="615" spans="1:33" ht="13">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row>
    <row r="616" spans="1:33" ht="13">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row>
    <row r="617" spans="1:33" ht="13">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row>
    <row r="618" spans="1:33" ht="13">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row>
    <row r="619" spans="1:33" ht="13">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row>
    <row r="620" spans="1:33" ht="13">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row>
    <row r="621" spans="1:33" ht="13">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row>
    <row r="622" spans="1:33" ht="13">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row>
    <row r="623" spans="1:33" ht="1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row>
    <row r="624" spans="1:33" ht="13">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row>
    <row r="625" spans="1:33" ht="13">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row>
    <row r="626" spans="1:33" ht="13">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row>
    <row r="627" spans="1:33" ht="13">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row>
    <row r="628" spans="1:33" ht="13">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row>
    <row r="629" spans="1:33" ht="13">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row>
    <row r="630" spans="1:33" ht="13">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row>
    <row r="631" spans="1:33" ht="13">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row>
    <row r="632" spans="1:33" ht="13">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row>
    <row r="633" spans="1:33" ht="1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row>
    <row r="634" spans="1:33" ht="13">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row>
    <row r="635" spans="1:33" ht="13">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row>
    <row r="636" spans="1:33" ht="13">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row>
    <row r="637" spans="1:33" ht="13">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row>
    <row r="638" spans="1:33" ht="13">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row>
    <row r="639" spans="1:33" ht="13">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row>
    <row r="640" spans="1:33" ht="13">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row>
    <row r="641" spans="1:33" ht="13">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row>
    <row r="642" spans="1:33" ht="13">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row>
    <row r="643" spans="1:33" ht="1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row>
    <row r="644" spans="1:33" ht="13">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row>
    <row r="645" spans="1:33" ht="13">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row>
    <row r="646" spans="1:33" ht="13">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row>
    <row r="647" spans="1:33" ht="13">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row>
    <row r="648" spans="1:33" ht="13">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row>
    <row r="649" spans="1:33" ht="13">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row>
    <row r="650" spans="1:33" ht="13">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row>
    <row r="651" spans="1:33" ht="13">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row>
    <row r="652" spans="1:33" ht="13">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row>
    <row r="653" spans="1:33" ht="1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row>
    <row r="654" spans="1:33" ht="13">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row>
    <row r="655" spans="1:33" ht="13">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row>
    <row r="656" spans="1:33" ht="13">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row>
    <row r="657" spans="1:33" ht="13">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row>
    <row r="658" spans="1:33" ht="13">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row>
    <row r="659" spans="1:33" ht="13">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row>
    <row r="660" spans="1:33" ht="13">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row>
    <row r="661" spans="1:33" ht="13">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row>
    <row r="662" spans="1:33" ht="13">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row>
    <row r="663" spans="1:33" ht="1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row>
    <row r="664" spans="1:33" ht="13">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row>
    <row r="665" spans="1:33" ht="13">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row>
    <row r="666" spans="1:33" ht="13">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row>
    <row r="667" spans="1:33" ht="13">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row>
    <row r="668" spans="1:33" ht="13">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row>
    <row r="669" spans="1:33" ht="13">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row>
    <row r="670" spans="1:33" ht="13">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row>
    <row r="671" spans="1:33" ht="13">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row>
    <row r="672" spans="1:33" ht="13">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row>
    <row r="673" spans="1:33" ht="1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row>
    <row r="674" spans="1:33" ht="13">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row>
    <row r="675" spans="1:33" ht="13">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row>
    <row r="676" spans="1:33" ht="13">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row>
    <row r="677" spans="1:33" ht="13">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row>
    <row r="678" spans="1:33" ht="13">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row>
    <row r="679" spans="1:33" ht="13">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row>
    <row r="680" spans="1:33" ht="13">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row>
    <row r="681" spans="1:33" ht="13">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row>
    <row r="682" spans="1:33" ht="13">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row>
    <row r="683" spans="1:33" ht="1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row>
    <row r="684" spans="1:33" ht="13">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row>
    <row r="685" spans="1:33" ht="13">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row>
    <row r="686" spans="1:33" ht="13">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row>
    <row r="687" spans="1:33" ht="13">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row>
    <row r="688" spans="1:33" ht="13">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row>
    <row r="689" spans="1:33" ht="13">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row>
    <row r="690" spans="1:33" ht="13">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row>
    <row r="691" spans="1:33" ht="13">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row>
    <row r="692" spans="1:33" ht="13">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row>
    <row r="693" spans="1:33" ht="1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row>
    <row r="694" spans="1:33" ht="13">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row>
    <row r="695" spans="1:33" ht="13">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row>
    <row r="696" spans="1:33" ht="13">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row>
    <row r="697" spans="1:33" ht="13">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row>
    <row r="698" spans="1:33" ht="13">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row>
    <row r="699" spans="1:33" ht="13">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row>
    <row r="700" spans="1:33" ht="13">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row>
    <row r="701" spans="1:33" ht="13">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row>
    <row r="702" spans="1:33" ht="13">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row>
    <row r="703" spans="1:33" ht="1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row>
    <row r="704" spans="1:33" ht="13">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row>
    <row r="705" spans="1:33" ht="13">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row>
    <row r="706" spans="1:33" ht="13">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row>
    <row r="707" spans="1:33" ht="13">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row>
    <row r="708" spans="1:33" ht="13">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row>
    <row r="709" spans="1:33" ht="13">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row>
    <row r="710" spans="1:33" ht="13">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row>
    <row r="711" spans="1:33" ht="13">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row>
    <row r="712" spans="1:33" ht="13">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row>
    <row r="713" spans="1:33" ht="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row>
    <row r="714" spans="1:33" ht="13">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row>
    <row r="715" spans="1:33" ht="13">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row>
    <row r="716" spans="1:33" ht="13">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row>
    <row r="717" spans="1:33" ht="13">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row>
    <row r="718" spans="1:33" ht="13">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row>
    <row r="719" spans="1:33" ht="13">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row>
    <row r="720" spans="1:33" ht="13">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row>
    <row r="721" spans="1:33" ht="13">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row>
    <row r="722" spans="1:33" ht="13">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row>
    <row r="723" spans="1:33" ht="1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row>
    <row r="724" spans="1:33" ht="13">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row>
    <row r="725" spans="1:33" ht="13">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row>
    <row r="726" spans="1:33" ht="13">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row>
    <row r="727" spans="1:33" ht="13">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row>
    <row r="728" spans="1:33" ht="13">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row>
    <row r="729" spans="1:33" ht="13">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row>
    <row r="730" spans="1:33" ht="13">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row>
    <row r="731" spans="1:33" ht="13">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row>
    <row r="732" spans="1:33" ht="13">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row>
    <row r="733" spans="1:33" ht="1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row>
    <row r="734" spans="1:33" ht="13">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row>
    <row r="735" spans="1:33" ht="13">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row>
    <row r="736" spans="1:33" ht="13">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row>
    <row r="737" spans="1:33" ht="13">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row>
    <row r="738" spans="1:33" ht="13">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row>
    <row r="739" spans="1:33" ht="13">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row>
    <row r="740" spans="1:33" ht="13">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row>
    <row r="741" spans="1:33" ht="13">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row>
    <row r="742" spans="1:33" ht="13">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row>
    <row r="743" spans="1:33" ht="1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row>
    <row r="744" spans="1:33" ht="13">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row>
    <row r="745" spans="1:33" ht="13">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row>
    <row r="746" spans="1:33" ht="13">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row>
    <row r="747" spans="1:33" ht="13">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row>
    <row r="748" spans="1:33" ht="13">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row>
    <row r="749" spans="1:33" ht="13">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row>
    <row r="750" spans="1:33" ht="13">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row>
    <row r="751" spans="1:33" ht="13">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row>
    <row r="752" spans="1:33" ht="13">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row>
    <row r="753" spans="1:33" ht="1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row>
    <row r="754" spans="1:33" ht="13">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row>
    <row r="755" spans="1:33" ht="13">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row>
    <row r="756" spans="1:33" ht="13">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row>
    <row r="757" spans="1:33" ht="13">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row>
    <row r="758" spans="1:33" ht="13">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row>
    <row r="759" spans="1:33" ht="13">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row>
    <row r="760" spans="1:33" ht="13">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row>
    <row r="761" spans="1:33" ht="13">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row>
    <row r="762" spans="1:33" ht="13">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row>
    <row r="763" spans="1:33" ht="1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row>
    <row r="764" spans="1:33" ht="13">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row>
    <row r="765" spans="1:33" ht="13">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row>
    <row r="766" spans="1:33" ht="13">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row>
    <row r="767" spans="1:33" ht="13">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row>
    <row r="768" spans="1:33" ht="13">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row>
    <row r="769" spans="1:33" ht="13">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row>
    <row r="770" spans="1:33" ht="13">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row>
    <row r="771" spans="1:33" ht="13">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row>
    <row r="772" spans="1:33" ht="13">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row>
    <row r="773" spans="1:33" ht="1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row>
    <row r="774" spans="1:33" ht="13">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row>
    <row r="775" spans="1:33" ht="13">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row>
    <row r="776" spans="1:33" ht="13">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row>
    <row r="777" spans="1:33" ht="13">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row>
    <row r="778" spans="1:33" ht="13">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row>
    <row r="779" spans="1:33" ht="13">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row>
    <row r="780" spans="1:33" ht="13">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row>
    <row r="781" spans="1:33" ht="13">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row>
    <row r="782" spans="1:33" ht="13">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row>
    <row r="783" spans="1:33" ht="1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row>
    <row r="784" spans="1:33" ht="13">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row>
    <row r="785" spans="1:33" ht="13">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row>
    <row r="786" spans="1:33" ht="13">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row>
    <row r="787" spans="1:33" ht="13">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row>
    <row r="788" spans="1:33" ht="13">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row>
    <row r="789" spans="1:33" ht="13">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row>
    <row r="790" spans="1:33" ht="13">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row>
    <row r="791" spans="1:33" ht="13">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row>
    <row r="792" spans="1:33" ht="13">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row>
    <row r="793" spans="1:33" ht="1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row>
    <row r="794" spans="1:33" ht="13">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row>
    <row r="795" spans="1:33" ht="13">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row>
    <row r="796" spans="1:33" ht="13">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row>
    <row r="797" spans="1:33" ht="13">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row>
    <row r="798" spans="1:33" ht="13">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row>
    <row r="799" spans="1:33" ht="13">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row>
    <row r="800" spans="1:33" ht="13">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row>
    <row r="801" spans="1:33" ht="13">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row>
    <row r="802" spans="1:33" ht="13">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row>
    <row r="803" spans="1:33" ht="1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row>
    <row r="804" spans="1:33" ht="13">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row>
    <row r="805" spans="1:33" ht="13">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row>
    <row r="806" spans="1:33" ht="13">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row>
    <row r="807" spans="1:33" ht="13">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row>
    <row r="808" spans="1:33" ht="13">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row>
    <row r="809" spans="1:33" ht="13">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row>
    <row r="810" spans="1:33" ht="13">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row>
    <row r="811" spans="1:33" ht="13">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row>
    <row r="812" spans="1:33" ht="13">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row>
    <row r="813" spans="1:33" ht="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row>
    <row r="814" spans="1:33" ht="13">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row>
    <row r="815" spans="1:33" ht="13">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row>
    <row r="816" spans="1:33" ht="13">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row>
    <row r="817" spans="1:33" ht="13">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row>
    <row r="818" spans="1:33" ht="13">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row>
    <row r="819" spans="1:33" ht="13">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row>
    <row r="820" spans="1:33" ht="13">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row>
    <row r="821" spans="1:33" ht="13">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row>
    <row r="822" spans="1:33" ht="13">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row>
    <row r="823" spans="1:33" ht="1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row>
    <row r="824" spans="1:33" ht="13">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row>
    <row r="825" spans="1:33" ht="13">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row>
    <row r="826" spans="1:33" ht="13">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row>
    <row r="827" spans="1:33" ht="13">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row>
    <row r="828" spans="1:33" ht="13">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row>
    <row r="829" spans="1:33" ht="13">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row>
    <row r="830" spans="1:33" ht="13">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row>
    <row r="831" spans="1:33" ht="13">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row>
    <row r="832" spans="1:33" ht="13">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row>
    <row r="833" spans="1:33" ht="1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row>
    <row r="834" spans="1:33" ht="13">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row>
    <row r="835" spans="1:33" ht="13">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row>
    <row r="836" spans="1:33" ht="13">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row>
    <row r="837" spans="1:33" ht="13">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row>
    <row r="838" spans="1:33" ht="13">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row>
    <row r="839" spans="1:33" ht="13">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row>
    <row r="840" spans="1:33" ht="13">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row>
    <row r="841" spans="1:33" ht="13">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row>
    <row r="842" spans="1:33" ht="13">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row>
    <row r="843" spans="1:33" ht="1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row>
    <row r="844" spans="1:33" ht="13">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row>
    <row r="845" spans="1:33" ht="13">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row>
    <row r="846" spans="1:33" ht="13">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row>
    <row r="847" spans="1:33" ht="13">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row>
    <row r="848" spans="1:33" ht="13">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row>
    <row r="849" spans="1:33" ht="13">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row>
    <row r="850" spans="1:33" ht="13">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row>
    <row r="851" spans="1:33" ht="13">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row>
    <row r="852" spans="1:33" ht="13">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row>
    <row r="853" spans="1:33" ht="1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row>
    <row r="854" spans="1:33" ht="13">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row>
    <row r="855" spans="1:33" ht="13">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row>
    <row r="856" spans="1:33" ht="13">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row>
    <row r="857" spans="1:33" ht="13">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row>
    <row r="858" spans="1:33" ht="13">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row>
    <row r="859" spans="1:33" ht="13">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row>
    <row r="860" spans="1:33" ht="13">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row>
    <row r="861" spans="1:33" ht="13">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row>
    <row r="862" spans="1:33" ht="13">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row>
    <row r="863" spans="1:33" ht="1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row>
    <row r="864" spans="1:33" ht="13">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row>
    <row r="865" spans="1:33" ht="13">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row>
    <row r="866" spans="1:33" ht="13">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row>
    <row r="867" spans="1:33" ht="13">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row>
    <row r="868" spans="1:33" ht="13">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row>
    <row r="869" spans="1:33" ht="13">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row>
    <row r="870" spans="1:33" ht="13">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row>
    <row r="871" spans="1:33" ht="13">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row>
    <row r="872" spans="1:33" ht="13">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row>
    <row r="873" spans="1:33" ht="1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row>
    <row r="874" spans="1:33" ht="13">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row>
    <row r="875" spans="1:33" ht="13">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row>
    <row r="876" spans="1:33" ht="13">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row>
    <row r="877" spans="1:33" ht="13">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row>
    <row r="878" spans="1:33" ht="13">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row>
    <row r="879" spans="1:33" ht="13">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row>
    <row r="880" spans="1:33" ht="13">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row>
    <row r="881" spans="1:33" ht="13">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row>
    <row r="882" spans="1:33" ht="13">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row>
    <row r="883" spans="1:33" ht="1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row>
    <row r="884" spans="1:33" ht="13">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row>
    <row r="885" spans="1:33" ht="13">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row>
    <row r="886" spans="1:33" ht="13">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row>
    <row r="887" spans="1:33" ht="13">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row>
    <row r="888" spans="1:33" ht="13">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row>
    <row r="889" spans="1:33" ht="13">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row>
    <row r="890" spans="1:33" ht="13">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row>
    <row r="891" spans="1:33" ht="13">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row>
    <row r="892" spans="1:33" ht="13">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row>
    <row r="893" spans="1:33" ht="1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row>
    <row r="894" spans="1:33" ht="13">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row>
    <row r="895" spans="1:33" ht="13">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row>
    <row r="896" spans="1:33" ht="13">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row>
    <row r="897" spans="1:33" ht="13">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row>
    <row r="898" spans="1:33" ht="13">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row>
    <row r="899" spans="1:33" ht="13">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row>
    <row r="900" spans="1:33" ht="13">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row>
    <row r="901" spans="1:33" ht="13">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row>
    <row r="902" spans="1:33" ht="13">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row>
    <row r="903" spans="1:33" ht="1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row>
    <row r="904" spans="1:33" ht="13">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row>
    <row r="905" spans="1:33" ht="13">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row>
    <row r="906" spans="1:33" ht="13">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row>
    <row r="907" spans="1:33" ht="13">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row>
    <row r="908" spans="1:33" ht="13">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row>
    <row r="909" spans="1:33" ht="13">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row>
    <row r="910" spans="1:33" ht="13">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row>
    <row r="911" spans="1:33" ht="13">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row>
    <row r="912" spans="1:33" ht="13">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row>
    <row r="913" spans="1:33" ht="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row>
    <row r="914" spans="1:33" ht="13">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row>
    <row r="915" spans="1:33" ht="13">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row>
    <row r="916" spans="1:33" ht="13">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row>
    <row r="917" spans="1:33" ht="13">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row>
    <row r="918" spans="1:33" ht="13">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row>
    <row r="919" spans="1:33" ht="13">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row>
    <row r="920" spans="1:33" ht="13">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row>
    <row r="921" spans="1:33" ht="13">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row>
    <row r="922" spans="1:33" ht="13">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row>
    <row r="923" spans="1:33" ht="1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row>
    <row r="924" spans="1:33" ht="13">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row>
    <row r="925" spans="1:33" ht="13">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row>
    <row r="926" spans="1:33" ht="13">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row>
    <row r="927" spans="1:33" ht="13">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row>
    <row r="928" spans="1:33" ht="13">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row>
    <row r="929" spans="1:33" ht="13">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row>
    <row r="930" spans="1:33" ht="13">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row>
    <row r="931" spans="1:33" ht="13">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row>
    <row r="932" spans="1:33" ht="13">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row>
    <row r="933" spans="1:33" ht="1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row>
    <row r="934" spans="1:33" ht="13">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row>
    <row r="935" spans="1:33" ht="13">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row>
    <row r="936" spans="1:33" ht="13">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row>
    <row r="937" spans="1:33" ht="13">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row>
    <row r="938" spans="1:33" ht="13">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row>
    <row r="939" spans="1:33" ht="13">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row>
    <row r="940" spans="1:33" ht="13">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row>
    <row r="941" spans="1:33" ht="13">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row>
    <row r="942" spans="1:33" ht="13">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row>
    <row r="943" spans="1:33" ht="1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row>
    <row r="944" spans="1:33" ht="13">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row>
    <row r="945" spans="1:33" ht="13">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row>
    <row r="946" spans="1:33" ht="13">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row>
    <row r="947" spans="1:33" ht="13">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row>
    <row r="948" spans="1:33" ht="13">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row>
    <row r="949" spans="1:33" ht="13">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row>
    <row r="950" spans="1:33" ht="13">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row>
    <row r="951" spans="1:33" ht="13">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row>
    <row r="952" spans="1:33" ht="13">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row>
    <row r="953" spans="1:33" ht="1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row>
    <row r="954" spans="1:33" ht="13">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row>
    <row r="955" spans="1:33" ht="13">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row>
    <row r="956" spans="1:33" ht="13">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row>
    <row r="957" spans="1:33" ht="13">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row>
    <row r="958" spans="1:33" ht="13">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row>
    <row r="959" spans="1:33" ht="13">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row>
    <row r="960" spans="1:33" ht="13">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row>
    <row r="961" spans="1:33" ht="13">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row>
    <row r="962" spans="1:33" ht="13">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row>
    <row r="963" spans="1:33" ht="1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row>
    <row r="964" spans="1:33" ht="13">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row>
    <row r="965" spans="1:33" ht="13">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row>
    <row r="966" spans="1:33" ht="13">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row>
    <row r="967" spans="1:33" ht="13">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row>
    <row r="968" spans="1:33" ht="13">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row>
    <row r="969" spans="1:33" ht="13">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row>
    <row r="970" spans="1:33" ht="13">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row>
    <row r="971" spans="1:33" ht="13">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row>
    <row r="972" spans="1:33" ht="13">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row>
    <row r="973" spans="1:33" ht="1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row>
    <row r="974" spans="1:33" ht="13">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row>
    <row r="975" spans="1:33" ht="13">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row>
    <row r="976" spans="1:33" ht="13">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row>
    <row r="977" spans="1:33" ht="13">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row>
    <row r="978" spans="1:33" ht="13">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row>
    <row r="979" spans="1:33" ht="13">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row>
    <row r="980" spans="1:33" ht="13">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row>
    <row r="981" spans="1:33" ht="13">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row>
    <row r="982" spans="1:33" ht="13">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row>
    <row r="983" spans="1:33" ht="1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row>
    <row r="984" spans="1:33" ht="13">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row>
    <row r="985" spans="1:33" ht="13">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row>
    <row r="986" spans="1:33" ht="13">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row>
    <row r="987" spans="1:33" ht="13">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row>
    <row r="988" spans="1:33" ht="13">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row>
    <row r="989" spans="1:33" ht="13">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row>
    <row r="990" spans="1:33" ht="13">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row>
    <row r="991" spans="1:33" ht="13">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row>
    <row r="992" spans="1:33" ht="13">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row>
    <row r="993" spans="1:33" ht="1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row>
    <row r="994" spans="1:33" ht="13">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row>
    <row r="995" spans="1:33" ht="13">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row>
    <row r="996" spans="1:33" ht="13">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row>
    <row r="997" spans="1:33" ht="13">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row>
    <row r="998" spans="1:33" ht="13">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row>
    <row r="999" spans="1:33" ht="13">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row>
    <row r="1000" spans="1:33" ht="13">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row>
    <row r="1001" spans="1:33" ht="13">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row>
    <row r="1002" spans="1:33" ht="13">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c r="AE1002" s="18"/>
      <c r="AF1002" s="18"/>
      <c r="AG1002" s="18"/>
    </row>
    <row r="1003" spans="1:33" ht="1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c r="AF1003" s="18"/>
      <c r="AG1003" s="18"/>
    </row>
    <row r="1004" spans="1:33" ht="13">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c r="AE1004" s="18"/>
      <c r="AF1004" s="18"/>
      <c r="AG1004" s="18"/>
    </row>
    <row r="1005" spans="1:33" ht="13">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c r="AE1005" s="18"/>
      <c r="AF1005" s="18"/>
      <c r="AG1005" s="18"/>
    </row>
    <row r="1006" spans="1:33" ht="13">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c r="AE1006" s="18"/>
      <c r="AF1006" s="18"/>
      <c r="AG1006" s="18"/>
    </row>
    <row r="1007" spans="1:33" ht="13">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8"/>
      <c r="AE1007" s="18"/>
      <c r="AF1007" s="18"/>
      <c r="AG1007" s="18"/>
    </row>
    <row r="1008" spans="1:33" ht="13">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c r="AD1008" s="18"/>
      <c r="AE1008" s="18"/>
      <c r="AF1008" s="18"/>
      <c r="AG1008" s="18"/>
    </row>
    <row r="1009" spans="1:33" ht="13">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c r="AD1009" s="18"/>
      <c r="AE1009" s="18"/>
      <c r="AF1009" s="18"/>
      <c r="AG1009" s="18"/>
    </row>
  </sheetData>
  <mergeCells count="3">
    <mergeCell ref="A53:B53"/>
    <mergeCell ref="A54:B54"/>
    <mergeCell ref="A55:B5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E13"/>
  <sheetViews>
    <sheetView workbookViewId="0"/>
  </sheetViews>
  <sheetFormatPr baseColWidth="10" defaultColWidth="12.6640625" defaultRowHeight="15.75" customHeight="1"/>
  <sheetData>
    <row r="1" spans="1:31" ht="15.75" customHeight="1">
      <c r="A1" s="1" t="s">
        <v>33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15.75" customHeight="1">
      <c r="A2" s="5" t="s">
        <v>34</v>
      </c>
      <c r="B2" s="5" t="s">
        <v>35</v>
      </c>
      <c r="C2" s="5" t="s">
        <v>36</v>
      </c>
    </row>
    <row r="3" spans="1:31" ht="15.75" customHeight="1">
      <c r="B3" s="5" t="s">
        <v>37</v>
      </c>
      <c r="C3" s="5" t="s">
        <v>38</v>
      </c>
    </row>
    <row r="4" spans="1:31" ht="15.75" customHeight="1">
      <c r="B4" s="5" t="s">
        <v>39</v>
      </c>
      <c r="C4" s="5" t="s">
        <v>40</v>
      </c>
    </row>
    <row r="5" spans="1:31" ht="15.75" customHeight="1">
      <c r="B5" s="5" t="s">
        <v>41</v>
      </c>
      <c r="C5" s="5" t="s">
        <v>42</v>
      </c>
    </row>
    <row r="6" spans="1:31" ht="15.75" customHeight="1">
      <c r="A6" s="5" t="s">
        <v>43</v>
      </c>
      <c r="C6" s="5" t="s">
        <v>44</v>
      </c>
    </row>
    <row r="7" spans="1:31" ht="15.75" customHeight="1">
      <c r="A7" s="5" t="s">
        <v>45</v>
      </c>
    </row>
    <row r="8" spans="1:31" ht="15.75" customHeight="1">
      <c r="A8" s="5" t="s">
        <v>46</v>
      </c>
      <c r="C8" s="5" t="s">
        <v>47</v>
      </c>
    </row>
    <row r="9" spans="1:31" ht="15.75" customHeight="1">
      <c r="A9" s="5" t="s">
        <v>48</v>
      </c>
    </row>
    <row r="10" spans="1:31" ht="15.75" customHeight="1">
      <c r="A10" s="5" t="s">
        <v>49</v>
      </c>
    </row>
    <row r="11" spans="1:31" ht="15.75" customHeight="1">
      <c r="A11" s="5" t="s">
        <v>50</v>
      </c>
    </row>
    <row r="12" spans="1:31" ht="15.75" customHeight="1">
      <c r="A12" s="5" t="s">
        <v>51</v>
      </c>
      <c r="C12" s="5" t="s">
        <v>52</v>
      </c>
    </row>
    <row r="13" spans="1:31" ht="15.75" customHeight="1">
      <c r="A13" s="2" t="s">
        <v>53</v>
      </c>
      <c r="B13" s="2"/>
      <c r="C13" s="2" t="s">
        <v>54</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F56"/>
  <sheetViews>
    <sheetView workbookViewId="0"/>
  </sheetViews>
  <sheetFormatPr baseColWidth="10" defaultColWidth="12.6640625" defaultRowHeight="15.75" customHeight="1"/>
  <cols>
    <col min="1" max="2" width="27.5" customWidth="1"/>
    <col min="3" max="4" width="15" customWidth="1"/>
    <col min="5" max="5" width="20.33203125" customWidth="1"/>
    <col min="7" max="7" width="22.6640625" customWidth="1"/>
    <col min="8" max="8" width="19.1640625" customWidth="1"/>
  </cols>
  <sheetData>
    <row r="1" spans="1:32" ht="15.75" customHeight="1">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ht="15.75"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ht="15.75" customHeight="1">
      <c r="A3" s="1" t="s">
        <v>2</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spans="1:32" ht="15.7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ht="15.75" customHeight="1">
      <c r="A5" s="1" t="s">
        <v>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15.75" customHeight="1">
      <c r="A6" s="2" t="s">
        <v>58</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t="15.75" customHeight="1">
      <c r="A7" s="5" t="s">
        <v>32</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row>
    <row r="8" spans="1:32" ht="15.75" customHeight="1">
      <c r="A8" s="2" t="s">
        <v>59</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row>
    <row r="9" spans="1:32" ht="15.75" customHeight="1">
      <c r="A9" s="2" t="s">
        <v>60</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row>
    <row r="10" spans="1:32" ht="15.75" customHeight="1">
      <c r="A10" s="2" t="s">
        <v>4</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row>
    <row r="11" spans="1:32" ht="15.75" customHeight="1">
      <c r="A11" s="2" t="s">
        <v>5</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row>
    <row r="12" spans="1:32" ht="15.75" customHeight="1">
      <c r="A12" s="2"/>
      <c r="B12" s="2"/>
      <c r="C12" s="2"/>
      <c r="D12" s="2"/>
      <c r="E12" s="14"/>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ht="15.75" customHeight="1">
      <c r="A13" s="1" t="s">
        <v>6</v>
      </c>
      <c r="B13" s="1"/>
      <c r="C13" s="1"/>
      <c r="D13" s="1"/>
      <c r="E13" s="15"/>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spans="1:32" ht="15.75" customHeight="1">
      <c r="A14" s="3" t="s">
        <v>7</v>
      </c>
      <c r="B14" s="3" t="s">
        <v>8</v>
      </c>
      <c r="C14" s="3" t="s">
        <v>9</v>
      </c>
      <c r="D14" s="3" t="s">
        <v>21</v>
      </c>
      <c r="E14" s="3" t="s">
        <v>10</v>
      </c>
      <c r="F14" s="3" t="s">
        <v>11</v>
      </c>
      <c r="G14" s="3" t="s">
        <v>12</v>
      </c>
      <c r="H14" s="3" t="s">
        <v>13</v>
      </c>
      <c r="I14" s="3"/>
      <c r="J14" s="3"/>
      <c r="L14" s="3"/>
      <c r="M14" s="3"/>
      <c r="N14" s="3"/>
      <c r="O14" s="3"/>
      <c r="P14" s="3"/>
      <c r="Q14" s="3"/>
      <c r="R14" s="3"/>
      <c r="S14" s="3"/>
      <c r="T14" s="3"/>
      <c r="U14" s="3"/>
      <c r="V14" s="3"/>
      <c r="W14" s="3"/>
      <c r="X14" s="3"/>
      <c r="Y14" s="3"/>
      <c r="Z14" s="3"/>
      <c r="AA14" s="3"/>
      <c r="AB14" s="3"/>
      <c r="AC14" s="3"/>
      <c r="AD14" s="3"/>
      <c r="AE14" s="3"/>
      <c r="AF14" s="3"/>
    </row>
    <row r="15" spans="1:32" ht="15.75" customHeight="1">
      <c r="A15" s="2" t="s">
        <v>61</v>
      </c>
      <c r="B15" s="2" t="s">
        <v>62</v>
      </c>
      <c r="C15" s="2"/>
      <c r="D15" s="2"/>
      <c r="F15" s="2"/>
      <c r="G15" s="10"/>
      <c r="J15" s="2"/>
    </row>
    <row r="16" spans="1:32" ht="15.75" customHeight="1">
      <c r="A16" s="2" t="s">
        <v>58</v>
      </c>
      <c r="B16" s="2" t="s">
        <v>63</v>
      </c>
      <c r="C16" s="2"/>
      <c r="D16" s="2"/>
      <c r="F16" s="2"/>
      <c r="G16" s="9"/>
      <c r="J16" s="2"/>
    </row>
    <row r="17" spans="1:32" ht="15.75" customHeight="1">
      <c r="A17" s="2" t="s">
        <v>58</v>
      </c>
      <c r="B17" s="2" t="s">
        <v>64</v>
      </c>
      <c r="G17" s="9"/>
      <c r="J17" s="2"/>
    </row>
    <row r="18" spans="1:32" ht="15.75" customHeight="1">
      <c r="A18" s="5" t="s">
        <v>58</v>
      </c>
      <c r="B18" s="5" t="s">
        <v>65</v>
      </c>
      <c r="C18" s="2"/>
      <c r="D18" s="2"/>
      <c r="F18" s="2"/>
      <c r="G18" s="10"/>
      <c r="J18" s="2"/>
    </row>
    <row r="19" spans="1:32" ht="15.75" customHeight="1">
      <c r="A19" s="2" t="s">
        <v>61</v>
      </c>
      <c r="B19" s="5" t="s">
        <v>66</v>
      </c>
      <c r="C19" s="2"/>
      <c r="D19" s="2"/>
      <c r="F19" s="2"/>
      <c r="G19" s="10"/>
      <c r="I19" s="2"/>
      <c r="J19" s="2"/>
      <c r="L19" s="2"/>
      <c r="M19" s="2"/>
      <c r="N19" s="2"/>
      <c r="O19" s="2"/>
      <c r="P19" s="2"/>
      <c r="Q19" s="2"/>
      <c r="R19" s="2"/>
      <c r="S19" s="2"/>
      <c r="T19" s="2"/>
      <c r="U19" s="2"/>
      <c r="V19" s="2"/>
      <c r="W19" s="2"/>
      <c r="X19" s="2"/>
      <c r="Y19" s="2"/>
      <c r="Z19" s="2"/>
      <c r="AA19" s="2"/>
      <c r="AB19" s="2"/>
      <c r="AC19" s="2"/>
      <c r="AD19" s="2"/>
      <c r="AE19" s="2"/>
      <c r="AF19" s="2"/>
    </row>
    <row r="20" spans="1:32" ht="15.75" customHeight="1">
      <c r="A20" s="5" t="s">
        <v>4</v>
      </c>
      <c r="B20" s="5" t="s">
        <v>67</v>
      </c>
      <c r="C20" s="2"/>
      <c r="D20" s="2"/>
      <c r="G20" s="9"/>
      <c r="I20" s="2"/>
      <c r="J20" s="2"/>
      <c r="L20" s="2"/>
      <c r="M20" s="2"/>
      <c r="N20" s="2"/>
      <c r="O20" s="2"/>
      <c r="P20" s="2"/>
      <c r="Q20" s="2"/>
      <c r="R20" s="2"/>
      <c r="S20" s="2"/>
      <c r="T20" s="2"/>
      <c r="U20" s="2"/>
      <c r="V20" s="2"/>
      <c r="W20" s="2"/>
      <c r="X20" s="2"/>
      <c r="Y20" s="2"/>
      <c r="Z20" s="2"/>
      <c r="AA20" s="2"/>
      <c r="AB20" s="2"/>
      <c r="AC20" s="2"/>
      <c r="AD20" s="2"/>
      <c r="AE20" s="2"/>
      <c r="AF20" s="2"/>
    </row>
    <row r="21" spans="1:32" ht="15.75" customHeight="1">
      <c r="A21" s="5" t="s">
        <v>5</v>
      </c>
      <c r="B21" s="5" t="s">
        <v>31</v>
      </c>
      <c r="G21" s="9"/>
      <c r="I21" s="2"/>
      <c r="J21" s="2"/>
      <c r="L21" s="2"/>
      <c r="M21" s="2"/>
      <c r="N21" s="2"/>
      <c r="O21" s="2"/>
      <c r="P21" s="2"/>
      <c r="Q21" s="2"/>
      <c r="R21" s="2"/>
      <c r="S21" s="2"/>
      <c r="T21" s="2"/>
      <c r="U21" s="2"/>
      <c r="V21" s="2"/>
      <c r="W21" s="2"/>
      <c r="X21" s="2"/>
      <c r="Y21" s="2"/>
      <c r="Z21" s="2"/>
      <c r="AA21" s="2"/>
      <c r="AB21" s="2"/>
      <c r="AC21" s="2"/>
      <c r="AD21" s="2"/>
      <c r="AE21" s="2"/>
      <c r="AF21" s="2"/>
    </row>
    <row r="22" spans="1:32" ht="15.75" customHeight="1">
      <c r="A22" s="2" t="s">
        <v>60</v>
      </c>
      <c r="B22" s="5" t="s">
        <v>68</v>
      </c>
      <c r="G22" s="9"/>
      <c r="I22" s="2"/>
      <c r="J22" s="2"/>
      <c r="L22" s="2"/>
      <c r="M22" s="2"/>
      <c r="N22" s="2"/>
      <c r="O22" s="2"/>
      <c r="P22" s="2"/>
      <c r="Q22" s="2"/>
      <c r="R22" s="2"/>
      <c r="S22" s="2"/>
      <c r="T22" s="2"/>
      <c r="U22" s="2"/>
      <c r="V22" s="2"/>
      <c r="W22" s="2"/>
      <c r="X22" s="2"/>
      <c r="Y22" s="2"/>
      <c r="Z22" s="2"/>
      <c r="AA22" s="2"/>
      <c r="AB22" s="2"/>
      <c r="AC22" s="2"/>
      <c r="AD22" s="2"/>
      <c r="AE22" s="2"/>
      <c r="AF22" s="2"/>
    </row>
    <row r="23" spans="1:32" ht="15.75" customHeight="1">
      <c r="A23" s="2" t="s">
        <v>60</v>
      </c>
      <c r="B23" s="5" t="s">
        <v>69</v>
      </c>
      <c r="G23" s="9"/>
      <c r="I23" s="2"/>
      <c r="J23" s="2"/>
      <c r="L23" s="2"/>
      <c r="M23" s="2"/>
      <c r="N23" s="2"/>
      <c r="O23" s="2"/>
      <c r="P23" s="2"/>
      <c r="Q23" s="2"/>
      <c r="R23" s="2"/>
      <c r="S23" s="2"/>
      <c r="T23" s="2"/>
      <c r="U23" s="2"/>
      <c r="V23" s="2"/>
      <c r="W23" s="2"/>
      <c r="X23" s="2"/>
      <c r="Y23" s="2"/>
      <c r="Z23" s="2"/>
      <c r="AA23" s="2"/>
      <c r="AB23" s="2"/>
      <c r="AC23" s="2"/>
      <c r="AD23" s="2"/>
      <c r="AE23" s="2"/>
      <c r="AF23" s="2"/>
    </row>
    <row r="24" spans="1:32" ht="15.75" customHeight="1">
      <c r="A24" s="2" t="s">
        <v>60</v>
      </c>
      <c r="B24" s="5" t="s">
        <v>70</v>
      </c>
      <c r="C24" s="2"/>
      <c r="D24" s="2"/>
      <c r="F24" s="2"/>
      <c r="G24" s="9"/>
      <c r="I24" s="10"/>
      <c r="J24" s="2"/>
      <c r="L24" s="2"/>
      <c r="M24" s="2"/>
      <c r="N24" s="2"/>
      <c r="O24" s="2"/>
      <c r="P24" s="2"/>
      <c r="Q24" s="2"/>
      <c r="R24" s="2"/>
      <c r="S24" s="2"/>
      <c r="T24" s="2"/>
      <c r="U24" s="2"/>
      <c r="V24" s="2"/>
      <c r="W24" s="2"/>
      <c r="X24" s="2"/>
      <c r="Y24" s="2"/>
      <c r="Z24" s="2"/>
      <c r="AA24" s="2"/>
      <c r="AB24" s="2"/>
      <c r="AC24" s="2"/>
      <c r="AD24" s="2"/>
      <c r="AE24" s="2"/>
      <c r="AF24" s="2"/>
    </row>
    <row r="25" spans="1:32" ht="15.75" customHeight="1">
      <c r="A25" s="5" t="s">
        <v>4</v>
      </c>
      <c r="B25" s="2" t="s">
        <v>71</v>
      </c>
      <c r="G25" s="9"/>
      <c r="I25" s="2"/>
      <c r="J25" s="2"/>
      <c r="L25" s="2"/>
      <c r="M25" s="2"/>
      <c r="N25" s="2"/>
      <c r="O25" s="2"/>
      <c r="P25" s="2"/>
      <c r="Q25" s="2"/>
      <c r="R25" s="2"/>
      <c r="S25" s="2"/>
      <c r="T25" s="2"/>
      <c r="U25" s="2"/>
      <c r="V25" s="2"/>
      <c r="W25" s="2"/>
      <c r="X25" s="2"/>
      <c r="Y25" s="2"/>
      <c r="Z25" s="2"/>
      <c r="AA25" s="2"/>
      <c r="AB25" s="2"/>
      <c r="AC25" s="2"/>
      <c r="AD25" s="2"/>
      <c r="AE25" s="2"/>
      <c r="AF25" s="2"/>
    </row>
    <row r="26" spans="1:32" ht="15.75" customHeight="1">
      <c r="A26" s="2" t="s">
        <v>58</v>
      </c>
      <c r="B26" s="2" t="s">
        <v>30</v>
      </c>
      <c r="C26" s="2"/>
      <c r="D26" s="2"/>
      <c r="F26" s="2"/>
      <c r="G26" s="9"/>
      <c r="I26" s="10"/>
      <c r="J26" s="2"/>
      <c r="L26" s="2"/>
      <c r="M26" s="2"/>
      <c r="N26" s="2"/>
      <c r="O26" s="2"/>
      <c r="P26" s="2"/>
      <c r="Q26" s="2"/>
      <c r="R26" s="2"/>
      <c r="S26" s="2"/>
      <c r="T26" s="2"/>
      <c r="U26" s="2"/>
      <c r="V26" s="2"/>
      <c r="W26" s="2"/>
      <c r="X26" s="2"/>
      <c r="Y26" s="2"/>
      <c r="Z26" s="2"/>
      <c r="AA26" s="2"/>
      <c r="AB26" s="2"/>
      <c r="AC26" s="2"/>
      <c r="AD26" s="2"/>
      <c r="AE26" s="2"/>
      <c r="AF26" s="2"/>
    </row>
    <row r="27" spans="1:32" ht="15.75" customHeight="1">
      <c r="A27" s="2" t="s">
        <v>58</v>
      </c>
      <c r="B27" s="5" t="s">
        <v>72</v>
      </c>
      <c r="G27" s="9"/>
      <c r="J27" s="2"/>
    </row>
    <row r="28" spans="1:32" ht="15.75" customHeight="1">
      <c r="A28" s="2" t="s">
        <v>59</v>
      </c>
      <c r="B28" s="2" t="s">
        <v>73</v>
      </c>
      <c r="C28" s="2"/>
      <c r="D28" s="2"/>
      <c r="F28" s="2"/>
      <c r="G28" s="10"/>
      <c r="H28" s="2"/>
      <c r="J28" s="2"/>
    </row>
    <row r="29" spans="1:32" ht="15.75" customHeight="1">
      <c r="A29" s="5" t="s">
        <v>4</v>
      </c>
      <c r="B29" s="5" t="s">
        <v>28</v>
      </c>
      <c r="C29" s="5" t="s">
        <v>29</v>
      </c>
      <c r="D29" s="5" t="s">
        <v>14</v>
      </c>
      <c r="E29" s="5" t="s">
        <v>16</v>
      </c>
      <c r="F29" s="9"/>
    </row>
    <row r="30" spans="1:32" ht="15.75" customHeight="1">
      <c r="A30" s="2"/>
      <c r="B30" s="2"/>
      <c r="C30" s="2"/>
      <c r="G30" s="13"/>
      <c r="I30" s="2"/>
      <c r="J30" s="2"/>
      <c r="L30" s="2"/>
      <c r="M30" s="2"/>
      <c r="N30" s="2"/>
      <c r="O30" s="2"/>
      <c r="P30" s="2"/>
      <c r="Q30" s="2"/>
      <c r="R30" s="2"/>
      <c r="S30" s="2"/>
      <c r="T30" s="2"/>
      <c r="U30" s="2"/>
      <c r="V30" s="2"/>
      <c r="W30" s="2"/>
      <c r="X30" s="2"/>
      <c r="Y30" s="2"/>
      <c r="Z30" s="2"/>
      <c r="AA30" s="2"/>
      <c r="AB30" s="2"/>
      <c r="AC30" s="2"/>
      <c r="AD30" s="2"/>
      <c r="AE30" s="2"/>
      <c r="AF30" s="2"/>
    </row>
    <row r="31" spans="1:32"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row>
    <row r="32" spans="1: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spans="1:32" ht="15.75" customHeight="1">
      <c r="A33" s="1" t="s">
        <v>18</v>
      </c>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spans="1:32" ht="15.75" customHeight="1">
      <c r="A34" s="2"/>
      <c r="B34" s="7"/>
      <c r="C34" s="2"/>
      <c r="D34" s="2"/>
      <c r="E34" s="76"/>
      <c r="F34" s="2"/>
      <c r="G34" s="2"/>
      <c r="H34" s="2"/>
      <c r="I34" s="2"/>
      <c r="J34" s="2"/>
      <c r="K34" s="2"/>
      <c r="L34" s="2"/>
      <c r="M34" s="2"/>
      <c r="N34" s="2"/>
      <c r="O34" s="2"/>
      <c r="P34" s="2"/>
      <c r="Q34" s="2"/>
      <c r="R34" s="2"/>
      <c r="S34" s="2"/>
      <c r="T34" s="2"/>
      <c r="U34" s="2"/>
      <c r="V34" s="2"/>
      <c r="W34" s="2"/>
      <c r="X34" s="2"/>
      <c r="Y34" s="2"/>
      <c r="Z34" s="2"/>
      <c r="AA34" s="2"/>
      <c r="AB34" s="2"/>
      <c r="AC34" s="2"/>
      <c r="AD34" s="2"/>
      <c r="AE34" s="2"/>
      <c r="AF34" s="2"/>
    </row>
    <row r="35" spans="1:32" ht="15.75" customHeight="1">
      <c r="A35" s="2"/>
      <c r="B35" s="7"/>
      <c r="C35" s="2"/>
      <c r="D35" s="2"/>
      <c r="E35" s="74"/>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spans="1:32" ht="15.75" customHeight="1">
      <c r="A36" s="2"/>
      <c r="B36" s="7"/>
      <c r="C36" s="2"/>
      <c r="D36" s="2"/>
      <c r="E36" s="74"/>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spans="1:32" ht="15.75" customHeight="1">
      <c r="B37" s="7"/>
      <c r="C37" s="2"/>
      <c r="D37" s="2"/>
      <c r="E37" s="74"/>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spans="1:32"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ht="15.75" customHeight="1">
      <c r="A39" s="8" t="s">
        <v>19</v>
      </c>
      <c r="B39" s="1"/>
      <c r="C39" s="1"/>
      <c r="D39" s="1"/>
      <c r="E39" s="1" t="s">
        <v>20</v>
      </c>
      <c r="F39" s="1" t="s">
        <v>26</v>
      </c>
      <c r="G39" s="1"/>
      <c r="H39" s="1"/>
      <c r="I39" s="1"/>
      <c r="J39" s="1"/>
      <c r="K39" s="1"/>
      <c r="L39" s="1"/>
      <c r="M39" s="1"/>
      <c r="N39" s="1"/>
      <c r="O39" s="1"/>
      <c r="P39" s="1"/>
      <c r="Q39" s="1"/>
      <c r="R39" s="1"/>
      <c r="S39" s="1"/>
      <c r="T39" s="1"/>
      <c r="U39" s="1"/>
      <c r="V39" s="1"/>
      <c r="W39" s="1"/>
      <c r="X39" s="1"/>
      <c r="Y39" s="1"/>
      <c r="Z39" s="1"/>
      <c r="AA39" s="1"/>
      <c r="AB39" s="1"/>
      <c r="AC39" s="1"/>
      <c r="AD39" s="1"/>
      <c r="AE39" s="1"/>
      <c r="AF39" s="1"/>
    </row>
    <row r="40" spans="1:32" ht="15.75" customHeight="1">
      <c r="A40" s="2"/>
      <c r="B40" s="2"/>
      <c r="C40" s="9"/>
      <c r="D40" s="9"/>
      <c r="E40" s="9"/>
      <c r="F40" s="19"/>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ht="15.75" customHeight="1">
      <c r="A41" s="2"/>
      <c r="B41" s="2"/>
      <c r="C41" s="10"/>
      <c r="D41" s="10"/>
      <c r="E41" s="10"/>
      <c r="F41" s="19"/>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ht="15.75" customHeight="1">
      <c r="C42" s="10"/>
      <c r="D42" s="10"/>
      <c r="E42" s="2"/>
      <c r="F42" s="19"/>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1:32" ht="15.75" customHeight="1">
      <c r="A43" s="2"/>
      <c r="B43" s="2"/>
      <c r="C43" s="9"/>
      <c r="D43" s="9"/>
      <c r="F43" s="22"/>
    </row>
    <row r="44" spans="1:32" ht="15.75" customHeight="1">
      <c r="C44" s="9"/>
      <c r="D44" s="9"/>
      <c r="F44" s="22"/>
    </row>
    <row r="45" spans="1:32" ht="15.75" customHeight="1">
      <c r="C45" s="9"/>
      <c r="D45" s="9"/>
      <c r="F45" s="22"/>
    </row>
    <row r="46" spans="1:32" ht="15.75" customHeight="1">
      <c r="C46" s="9"/>
      <c r="D46" s="9"/>
      <c r="F46" s="22"/>
    </row>
    <row r="47" spans="1:32" ht="15.75" customHeight="1">
      <c r="A47" s="2"/>
      <c r="B47" s="2"/>
      <c r="C47" s="9"/>
      <c r="D47" s="9"/>
      <c r="F47" s="22"/>
    </row>
    <row r="48" spans="1:32" ht="15.75" customHeight="1">
      <c r="C48" s="9"/>
      <c r="D48" s="9"/>
      <c r="F48" s="22"/>
    </row>
    <row r="49" spans="1:32" ht="15.75" customHeight="1">
      <c r="A49" s="2"/>
      <c r="B49" s="2"/>
      <c r="C49" s="9"/>
      <c r="D49" s="9"/>
      <c r="F49" s="22"/>
    </row>
    <row r="50" spans="1:32" ht="15.75" customHeight="1">
      <c r="C50" s="9"/>
      <c r="D50" s="9"/>
      <c r="F50" s="22"/>
    </row>
    <row r="51" spans="1:32" ht="15.75" customHeight="1">
      <c r="A51" s="2"/>
      <c r="B51" s="2"/>
      <c r="C51" s="9"/>
      <c r="D51" s="9"/>
      <c r="F51" s="22"/>
    </row>
    <row r="52" spans="1:32" ht="15.75" customHeight="1">
      <c r="C52" s="9"/>
      <c r="D52" s="9"/>
      <c r="F52" s="22"/>
    </row>
    <row r="53" spans="1:32" ht="15.75" customHeight="1">
      <c r="A53" s="2"/>
      <c r="B53" s="2"/>
      <c r="C53" s="16"/>
      <c r="D53" s="16"/>
      <c r="E53" s="17"/>
      <c r="F53" s="21"/>
    </row>
    <row r="54" spans="1:32"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row>
    <row r="55" spans="1:32" ht="15.75" customHeight="1">
      <c r="C55" s="6"/>
      <c r="D55" s="6"/>
    </row>
    <row r="56" spans="1:32" ht="15.75" customHeight="1">
      <c r="C56" s="6"/>
      <c r="D56" s="6"/>
    </row>
  </sheetData>
  <mergeCells count="1">
    <mergeCell ref="E34:E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G1022"/>
  <sheetViews>
    <sheetView topLeftCell="A5" workbookViewId="0">
      <selection activeCell="C57" sqref="C57"/>
    </sheetView>
  </sheetViews>
  <sheetFormatPr baseColWidth="10" defaultColWidth="12.6640625" defaultRowHeight="15.75" customHeight="1"/>
  <cols>
    <col min="1" max="1" width="36" customWidth="1"/>
    <col min="2" max="2" width="63.6640625" customWidth="1"/>
    <col min="3" max="3" width="47.33203125" customWidth="1"/>
    <col min="4" max="4" width="26" customWidth="1"/>
    <col min="5" max="5" width="13.6640625" customWidth="1"/>
    <col min="6" max="6" width="121.33203125" customWidth="1"/>
  </cols>
  <sheetData>
    <row r="1" spans="1:33" ht="13">
      <c r="A1" s="36" t="s">
        <v>75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row>
    <row r="2" spans="1:33" ht="13">
      <c r="A2" s="37" t="s">
        <v>76</v>
      </c>
      <c r="B2" s="37" t="s">
        <v>97</v>
      </c>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row>
    <row r="3" spans="1:33" ht="13">
      <c r="A3" s="24" t="s">
        <v>77</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row>
    <row r="4" spans="1:33" ht="13">
      <c r="A4" s="24" t="s">
        <v>78</v>
      </c>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row>
    <row r="5" spans="1:33" ht="13">
      <c r="A5" s="24" t="s">
        <v>79</v>
      </c>
      <c r="B5" s="24" t="s">
        <v>98</v>
      </c>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row>
    <row r="6" spans="1:33" ht="1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row>
    <row r="7" spans="1:33" ht="13">
      <c r="A7" s="37" t="s">
        <v>3</v>
      </c>
      <c r="B7" s="37" t="s">
        <v>80</v>
      </c>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row>
    <row r="8" spans="1:33" ht="13">
      <c r="A8" s="4" t="s">
        <v>99</v>
      </c>
      <c r="B8" s="4" t="s">
        <v>100</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row>
    <row r="9" spans="1:33" ht="13">
      <c r="A9" s="4" t="s">
        <v>101</v>
      </c>
      <c r="B9" s="4" t="s">
        <v>102</v>
      </c>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row>
    <row r="10" spans="1:33" ht="13">
      <c r="A10" s="4" t="s">
        <v>103</v>
      </c>
      <c r="B10" s="4" t="s">
        <v>104</v>
      </c>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row>
    <row r="11" spans="1:33" ht="13">
      <c r="A11" s="4" t="s">
        <v>105</v>
      </c>
      <c r="B11" s="4" t="s">
        <v>106</v>
      </c>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row>
    <row r="12" spans="1:33" ht="13">
      <c r="A12" s="4" t="s">
        <v>4</v>
      </c>
      <c r="B12" s="4" t="s">
        <v>107</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row>
    <row r="13" spans="1:33" ht="13">
      <c r="A13" s="4" t="s">
        <v>108</v>
      </c>
      <c r="B13" s="4" t="s">
        <v>109</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row>
    <row r="14" spans="1:33" ht="13">
      <c r="A14" s="4" t="s">
        <v>110</v>
      </c>
      <c r="B14" s="4" t="s">
        <v>111</v>
      </c>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row>
    <row r="15" spans="1:33" ht="13">
      <c r="A15" s="4" t="s">
        <v>112</v>
      </c>
      <c r="B15" s="4" t="s">
        <v>113</v>
      </c>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row>
    <row r="16" spans="1:33" ht="13">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row>
    <row r="17" spans="1:33" ht="1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row>
    <row r="18" spans="1:33" ht="13">
      <c r="A18" s="38" t="s">
        <v>81</v>
      </c>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3">
      <c r="A19" s="39" t="s">
        <v>6</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row>
    <row r="20" spans="1:33" ht="13">
      <c r="A20" s="40" t="s">
        <v>7</v>
      </c>
      <c r="B20" s="40" t="s">
        <v>8</v>
      </c>
      <c r="C20" s="40" t="s">
        <v>9</v>
      </c>
      <c r="D20" s="40" t="s">
        <v>21</v>
      </c>
      <c r="E20" s="40" t="s">
        <v>10</v>
      </c>
      <c r="F20" s="40" t="s">
        <v>11</v>
      </c>
      <c r="G20" s="40" t="s">
        <v>12</v>
      </c>
      <c r="H20" s="40" t="s">
        <v>13</v>
      </c>
      <c r="I20" s="40" t="s">
        <v>82</v>
      </c>
      <c r="J20" s="40" t="s">
        <v>83</v>
      </c>
      <c r="K20" s="40"/>
      <c r="L20" s="40"/>
      <c r="M20" s="40"/>
      <c r="N20" s="40"/>
      <c r="O20" s="40"/>
      <c r="P20" s="40"/>
      <c r="Q20" s="40"/>
      <c r="R20" s="40"/>
      <c r="S20" s="40"/>
      <c r="T20" s="40"/>
      <c r="U20" s="40"/>
      <c r="V20" s="40"/>
      <c r="W20" s="40"/>
      <c r="X20" s="40"/>
      <c r="Y20" s="40"/>
      <c r="Z20" s="40"/>
      <c r="AA20" s="40"/>
      <c r="AB20" s="40"/>
      <c r="AC20" s="40"/>
      <c r="AD20" s="40"/>
      <c r="AE20" s="40"/>
      <c r="AF20" s="40"/>
      <c r="AG20" s="40"/>
    </row>
    <row r="21" spans="1:33" ht="13">
      <c r="A21" s="4" t="s">
        <v>99</v>
      </c>
      <c r="B21" s="4" t="s">
        <v>114</v>
      </c>
      <c r="C21" s="4" t="s">
        <v>115</v>
      </c>
      <c r="D21" s="4" t="s">
        <v>22</v>
      </c>
      <c r="E21" s="4" t="s">
        <v>15</v>
      </c>
      <c r="F21" s="18" t="s">
        <v>116</v>
      </c>
      <c r="G21" s="25">
        <v>43560</v>
      </c>
      <c r="H21" s="18" t="s">
        <v>117</v>
      </c>
      <c r="I21" s="18">
        <v>100</v>
      </c>
      <c r="J21" s="18" t="s">
        <v>118</v>
      </c>
      <c r="K21" s="18"/>
      <c r="L21" s="18"/>
      <c r="M21" s="18"/>
      <c r="N21" s="18"/>
      <c r="O21" s="18"/>
      <c r="P21" s="18"/>
      <c r="Q21" s="18"/>
      <c r="R21" s="18"/>
      <c r="S21" s="18"/>
      <c r="T21" s="18"/>
      <c r="U21" s="18"/>
      <c r="V21" s="18"/>
      <c r="W21" s="18"/>
      <c r="X21" s="18"/>
      <c r="Y21" s="18"/>
      <c r="Z21" s="18"/>
      <c r="AA21" s="18"/>
      <c r="AB21" s="18"/>
      <c r="AC21" s="18"/>
      <c r="AD21" s="18"/>
      <c r="AE21" s="18"/>
      <c r="AF21" s="18"/>
      <c r="AG21" s="18"/>
    </row>
    <row r="22" spans="1:33" ht="13">
      <c r="A22" s="4" t="s">
        <v>99</v>
      </c>
      <c r="B22" s="4" t="s">
        <v>119</v>
      </c>
      <c r="C22" s="4" t="s">
        <v>120</v>
      </c>
      <c r="D22" s="4" t="s">
        <v>22</v>
      </c>
      <c r="E22" s="4" t="s">
        <v>15</v>
      </c>
      <c r="F22" s="18" t="s">
        <v>121</v>
      </c>
      <c r="G22" s="25">
        <v>70400</v>
      </c>
      <c r="H22" s="18" t="s">
        <v>117</v>
      </c>
      <c r="I22" s="18">
        <v>100</v>
      </c>
      <c r="J22" s="18" t="s">
        <v>122</v>
      </c>
      <c r="K22" s="18"/>
      <c r="L22" s="18"/>
      <c r="M22" s="18"/>
      <c r="N22" s="18"/>
      <c r="O22" s="18"/>
      <c r="P22" s="18"/>
      <c r="Q22" s="18"/>
      <c r="R22" s="18"/>
      <c r="S22" s="18"/>
      <c r="T22" s="18"/>
      <c r="U22" s="18"/>
      <c r="V22" s="18"/>
      <c r="W22" s="18"/>
      <c r="X22" s="18"/>
      <c r="Y22" s="18"/>
      <c r="Z22" s="18"/>
      <c r="AA22" s="18"/>
      <c r="AB22" s="18"/>
      <c r="AC22" s="18"/>
      <c r="AD22" s="18"/>
      <c r="AE22" s="18"/>
      <c r="AF22" s="18"/>
      <c r="AG22" s="18"/>
    </row>
    <row r="23" spans="1:33" ht="13">
      <c r="A23" s="4" t="s">
        <v>99</v>
      </c>
      <c r="B23" s="4" t="s">
        <v>123</v>
      </c>
      <c r="C23" s="4" t="s">
        <v>124</v>
      </c>
      <c r="D23" s="4" t="s">
        <v>125</v>
      </c>
      <c r="E23" s="4" t="s">
        <v>15</v>
      </c>
      <c r="F23" s="18" t="s">
        <v>126</v>
      </c>
      <c r="G23" s="25">
        <v>3750</v>
      </c>
      <c r="H23" s="18" t="s">
        <v>117</v>
      </c>
      <c r="I23" s="18">
        <v>100</v>
      </c>
      <c r="J23" s="18" t="s">
        <v>127</v>
      </c>
      <c r="K23" s="18"/>
      <c r="L23" s="18"/>
      <c r="M23" s="18"/>
      <c r="N23" s="18"/>
      <c r="O23" s="18"/>
      <c r="P23" s="18"/>
      <c r="Q23" s="18"/>
      <c r="R23" s="18"/>
      <c r="S23" s="18"/>
      <c r="T23" s="18"/>
      <c r="U23" s="18"/>
      <c r="V23" s="18"/>
      <c r="W23" s="18"/>
      <c r="X23" s="18"/>
      <c r="Y23" s="18"/>
      <c r="Z23" s="18"/>
      <c r="AA23" s="18"/>
      <c r="AB23" s="18"/>
      <c r="AC23" s="18"/>
      <c r="AD23" s="18"/>
      <c r="AE23" s="18"/>
      <c r="AF23" s="18"/>
      <c r="AG23" s="18"/>
    </row>
    <row r="24" spans="1:33" ht="13">
      <c r="A24" s="4" t="s">
        <v>99</v>
      </c>
      <c r="B24" s="4" t="s">
        <v>128</v>
      </c>
      <c r="C24" s="4" t="s">
        <v>129</v>
      </c>
      <c r="D24" s="4" t="s">
        <v>23</v>
      </c>
      <c r="E24" s="4" t="s">
        <v>15</v>
      </c>
      <c r="F24" s="18" t="s">
        <v>130</v>
      </c>
      <c r="G24" s="25">
        <v>3750</v>
      </c>
      <c r="H24" s="18" t="s">
        <v>117</v>
      </c>
      <c r="I24" s="18"/>
      <c r="J24" s="18" t="s">
        <v>131</v>
      </c>
      <c r="K24" s="18"/>
      <c r="L24" s="18"/>
      <c r="M24" s="18"/>
      <c r="N24" s="18"/>
      <c r="O24" s="18"/>
      <c r="P24" s="18"/>
      <c r="Q24" s="18"/>
      <c r="R24" s="18"/>
      <c r="S24" s="18"/>
      <c r="T24" s="18"/>
      <c r="U24" s="18"/>
      <c r="V24" s="18"/>
      <c r="W24" s="18"/>
      <c r="X24" s="18"/>
      <c r="Y24" s="18"/>
      <c r="Z24" s="18"/>
      <c r="AA24" s="18"/>
      <c r="AB24" s="18"/>
      <c r="AC24" s="18"/>
      <c r="AD24" s="18"/>
      <c r="AE24" s="18"/>
      <c r="AF24" s="18"/>
      <c r="AG24" s="18"/>
    </row>
    <row r="25" spans="1:33" ht="13">
      <c r="A25" s="4" t="s">
        <v>101</v>
      </c>
      <c r="B25" s="4" t="s">
        <v>132</v>
      </c>
      <c r="C25" s="4" t="s">
        <v>133</v>
      </c>
      <c r="D25" s="4" t="s">
        <v>134</v>
      </c>
      <c r="E25" s="4" t="s">
        <v>15</v>
      </c>
      <c r="F25" s="18" t="s">
        <v>135</v>
      </c>
      <c r="G25" s="25">
        <v>5002</v>
      </c>
      <c r="H25" s="18" t="s">
        <v>117</v>
      </c>
      <c r="I25" s="18">
        <v>100</v>
      </c>
      <c r="J25" s="18" t="s">
        <v>136</v>
      </c>
      <c r="K25" s="18"/>
      <c r="L25" s="18"/>
      <c r="M25" s="18"/>
      <c r="N25" s="18"/>
      <c r="O25" s="18"/>
      <c r="P25" s="18"/>
      <c r="Q25" s="18"/>
      <c r="R25" s="18"/>
      <c r="S25" s="18"/>
      <c r="T25" s="18"/>
      <c r="U25" s="18"/>
      <c r="V25" s="18"/>
      <c r="W25" s="18"/>
      <c r="X25" s="18"/>
      <c r="Y25" s="18"/>
      <c r="Z25" s="18"/>
      <c r="AA25" s="18"/>
      <c r="AB25" s="18"/>
      <c r="AC25" s="18"/>
      <c r="AD25" s="18"/>
      <c r="AE25" s="18"/>
      <c r="AF25" s="18"/>
      <c r="AG25" s="18"/>
    </row>
    <row r="26" spans="1:33" ht="16">
      <c r="A26" s="4" t="s">
        <v>103</v>
      </c>
      <c r="B26" s="4" t="s">
        <v>137</v>
      </c>
      <c r="C26" s="4" t="s">
        <v>138</v>
      </c>
      <c r="D26" s="4" t="s">
        <v>25</v>
      </c>
      <c r="E26" s="4" t="s">
        <v>15</v>
      </c>
      <c r="F26" s="18" t="s">
        <v>139</v>
      </c>
      <c r="G26" s="25">
        <v>2200</v>
      </c>
      <c r="H26" s="18" t="s">
        <v>117</v>
      </c>
      <c r="I26" s="18">
        <v>10</v>
      </c>
      <c r="J26" s="54" t="s">
        <v>140</v>
      </c>
      <c r="K26" s="18"/>
      <c r="L26" s="18"/>
      <c r="M26" s="18"/>
      <c r="N26" s="18"/>
      <c r="O26" s="18"/>
      <c r="P26" s="18"/>
      <c r="Q26" s="18"/>
      <c r="R26" s="18"/>
      <c r="S26" s="18"/>
      <c r="T26" s="18"/>
      <c r="U26" s="18"/>
      <c r="V26" s="18"/>
      <c r="W26" s="18"/>
      <c r="X26" s="18"/>
      <c r="Y26" s="18"/>
      <c r="Z26" s="18"/>
      <c r="AA26" s="18"/>
      <c r="AB26" s="18"/>
      <c r="AC26" s="18"/>
      <c r="AD26" s="18"/>
      <c r="AE26" s="18"/>
      <c r="AF26" s="18"/>
      <c r="AG26" s="18"/>
    </row>
    <row r="27" spans="1:33" ht="13">
      <c r="A27" s="4" t="s">
        <v>103</v>
      </c>
      <c r="B27" s="4" t="s">
        <v>141</v>
      </c>
      <c r="C27" s="4" t="s">
        <v>142</v>
      </c>
      <c r="D27" s="4" t="s">
        <v>25</v>
      </c>
      <c r="E27" s="4" t="s">
        <v>15</v>
      </c>
      <c r="F27" s="18" t="s">
        <v>143</v>
      </c>
      <c r="G27" s="25">
        <v>7436</v>
      </c>
      <c r="H27" s="18" t="s">
        <v>117</v>
      </c>
      <c r="I27" s="18">
        <v>100</v>
      </c>
      <c r="J27" s="18" t="s">
        <v>144</v>
      </c>
      <c r="K27" s="18"/>
      <c r="L27" s="18"/>
      <c r="M27" s="18"/>
      <c r="N27" s="18"/>
      <c r="O27" s="18"/>
      <c r="P27" s="18"/>
      <c r="Q27" s="18"/>
      <c r="R27" s="18"/>
      <c r="S27" s="18"/>
      <c r="T27" s="18"/>
      <c r="U27" s="18"/>
      <c r="V27" s="18"/>
      <c r="W27" s="18"/>
      <c r="X27" s="18"/>
      <c r="Y27" s="18"/>
      <c r="Z27" s="18"/>
      <c r="AA27" s="18"/>
      <c r="AB27" s="18"/>
      <c r="AC27" s="18"/>
      <c r="AD27" s="18"/>
      <c r="AE27" s="18"/>
      <c r="AF27" s="18"/>
      <c r="AG27" s="18"/>
    </row>
    <row r="28" spans="1:33" ht="13">
      <c r="A28" s="4" t="s">
        <v>105</v>
      </c>
      <c r="B28" s="4" t="s">
        <v>145</v>
      </c>
      <c r="C28" s="4" t="s">
        <v>146</v>
      </c>
      <c r="D28" s="4" t="s">
        <v>22</v>
      </c>
      <c r="E28" s="4" t="s">
        <v>15</v>
      </c>
      <c r="F28" s="20" t="s">
        <v>147</v>
      </c>
      <c r="G28" s="27">
        <v>2500</v>
      </c>
      <c r="H28" s="26" t="s">
        <v>117</v>
      </c>
      <c r="I28" s="26">
        <v>100</v>
      </c>
      <c r="J28" s="26" t="s">
        <v>148</v>
      </c>
      <c r="K28" s="26"/>
      <c r="L28" s="26"/>
      <c r="M28" s="26"/>
      <c r="N28" s="26"/>
      <c r="O28" s="26"/>
      <c r="P28" s="26"/>
      <c r="Q28" s="26"/>
      <c r="R28" s="26"/>
      <c r="S28" s="26"/>
      <c r="T28" s="26"/>
      <c r="U28" s="26"/>
      <c r="V28" s="26"/>
      <c r="W28" s="26"/>
      <c r="X28" s="26"/>
      <c r="Y28" s="26"/>
      <c r="Z28" s="26"/>
      <c r="AA28" s="26"/>
      <c r="AB28" s="26"/>
      <c r="AC28" s="26"/>
      <c r="AD28" s="26"/>
      <c r="AE28" s="26"/>
      <c r="AF28" s="26"/>
      <c r="AG28" s="26"/>
    </row>
    <row r="29" spans="1:33" ht="13">
      <c r="A29" s="4" t="s">
        <v>4</v>
      </c>
      <c r="B29" s="4" t="s">
        <v>149</v>
      </c>
      <c r="C29" s="4" t="s">
        <v>150</v>
      </c>
      <c r="D29" s="4" t="s">
        <v>23</v>
      </c>
      <c r="E29" s="4" t="s">
        <v>15</v>
      </c>
      <c r="F29" s="20" t="s">
        <v>151</v>
      </c>
      <c r="G29" s="28">
        <v>6049</v>
      </c>
      <c r="H29" s="20" t="s">
        <v>117</v>
      </c>
      <c r="I29" s="20">
        <v>100</v>
      </c>
      <c r="J29" s="20" t="s">
        <v>152</v>
      </c>
      <c r="K29" s="20"/>
      <c r="L29" s="20"/>
      <c r="M29" s="20"/>
      <c r="N29" s="20"/>
      <c r="O29" s="20"/>
      <c r="P29" s="20"/>
      <c r="Q29" s="20"/>
      <c r="R29" s="20"/>
      <c r="S29" s="20"/>
      <c r="T29" s="20"/>
      <c r="U29" s="20"/>
      <c r="V29" s="20"/>
      <c r="W29" s="20"/>
      <c r="X29" s="20"/>
      <c r="Y29" s="20"/>
      <c r="Z29" s="20"/>
      <c r="AA29" s="20"/>
      <c r="AB29" s="20"/>
      <c r="AC29" s="20"/>
      <c r="AD29" s="20"/>
      <c r="AE29" s="20"/>
      <c r="AF29" s="20"/>
      <c r="AG29" s="20"/>
    </row>
    <row r="30" spans="1:33" ht="13">
      <c r="A30" s="4" t="s">
        <v>108</v>
      </c>
      <c r="B30" s="4" t="s">
        <v>153</v>
      </c>
      <c r="C30" s="4" t="s">
        <v>154</v>
      </c>
      <c r="D30" s="4" t="s">
        <v>155</v>
      </c>
      <c r="E30" s="4" t="s">
        <v>14</v>
      </c>
      <c r="F30" s="20" t="s">
        <v>156</v>
      </c>
      <c r="G30" s="28">
        <v>1350</v>
      </c>
      <c r="H30" s="20" t="s">
        <v>117</v>
      </c>
      <c r="I30" s="20">
        <v>100</v>
      </c>
      <c r="J30" s="20" t="s">
        <v>156</v>
      </c>
      <c r="K30" s="20"/>
      <c r="L30" s="20"/>
      <c r="M30" s="20"/>
      <c r="N30" s="20"/>
      <c r="O30" s="20"/>
      <c r="P30" s="20"/>
      <c r="Q30" s="20"/>
      <c r="R30" s="20"/>
      <c r="S30" s="20"/>
      <c r="T30" s="20"/>
      <c r="U30" s="20"/>
      <c r="V30" s="20"/>
      <c r="W30" s="20"/>
      <c r="X30" s="20"/>
      <c r="Y30" s="20"/>
      <c r="Z30" s="20"/>
      <c r="AA30" s="20"/>
      <c r="AB30" s="20"/>
      <c r="AC30" s="20"/>
      <c r="AD30" s="20"/>
      <c r="AE30" s="20"/>
      <c r="AF30" s="20"/>
      <c r="AG30" s="20"/>
    </row>
    <row r="31" spans="1:33" ht="13">
      <c r="A31" s="4"/>
      <c r="B31" s="4"/>
      <c r="C31" s="4"/>
      <c r="D31" s="4"/>
      <c r="E31" s="4"/>
      <c r="F31" s="29"/>
      <c r="G31" s="30"/>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row>
    <row r="32" spans="1:33" ht="13">
      <c r="A32" s="20" t="s">
        <v>157</v>
      </c>
      <c r="B32" s="5" t="s">
        <v>158</v>
      </c>
      <c r="C32" s="18" t="s">
        <v>159</v>
      </c>
      <c r="D32" s="5" t="s">
        <v>22</v>
      </c>
      <c r="E32" s="18" t="s">
        <v>15</v>
      </c>
      <c r="F32" s="28"/>
      <c r="G32" s="28"/>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row>
    <row r="33" spans="1:33" ht="13.5" customHeight="1">
      <c r="A33" s="20" t="s">
        <v>5</v>
      </c>
      <c r="B33" s="18" t="s">
        <v>74</v>
      </c>
      <c r="C33" s="18" t="s">
        <v>24</v>
      </c>
      <c r="D33" s="18" t="s">
        <v>22</v>
      </c>
      <c r="E33" s="18" t="s">
        <v>15</v>
      </c>
      <c r="F33" s="28"/>
      <c r="G33" s="28"/>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row>
    <row r="34" spans="1:33" ht="13">
      <c r="A34" s="18" t="s">
        <v>4</v>
      </c>
      <c r="B34" s="18" t="s">
        <v>160</v>
      </c>
      <c r="C34" s="18" t="s">
        <v>161</v>
      </c>
      <c r="D34" s="18" t="s">
        <v>23</v>
      </c>
      <c r="E34" s="18" t="s">
        <v>14</v>
      </c>
      <c r="F34" s="18"/>
      <c r="G34" s="25"/>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row>
    <row r="35" spans="1:33" ht="13">
      <c r="A35" s="18" t="s">
        <v>162</v>
      </c>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row>
    <row r="36" spans="1:33" ht="1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row>
    <row r="37" spans="1:33" ht="1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row>
    <row r="38" spans="1:33" ht="13">
      <c r="A38" s="41" t="s">
        <v>84</v>
      </c>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row>
    <row r="39" spans="1:33" ht="13">
      <c r="A39" s="42" t="s">
        <v>85</v>
      </c>
      <c r="B39" s="42" t="s">
        <v>12</v>
      </c>
      <c r="C39" s="42" t="s">
        <v>13</v>
      </c>
      <c r="D39" s="42" t="s">
        <v>56</v>
      </c>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row>
    <row r="40" spans="1:33" ht="13">
      <c r="A40" s="4" t="s">
        <v>95</v>
      </c>
      <c r="B40" s="23">
        <v>77296</v>
      </c>
      <c r="C40" s="4" t="s">
        <v>96</v>
      </c>
      <c r="D40" s="4" t="s">
        <v>163</v>
      </c>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spans="1:33" ht="13">
      <c r="A41" s="4" t="s">
        <v>164</v>
      </c>
      <c r="B41" s="4">
        <v>12</v>
      </c>
      <c r="C41" s="4" t="s">
        <v>165</v>
      </c>
      <c r="D41" s="4" t="s">
        <v>166</v>
      </c>
    </row>
    <row r="42" spans="1:33" ht="13">
      <c r="A42" s="31" t="s">
        <v>167</v>
      </c>
      <c r="B42" s="20">
        <v>6250</v>
      </c>
      <c r="C42" s="20" t="s">
        <v>168</v>
      </c>
      <c r="D42" s="20" t="s">
        <v>169</v>
      </c>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spans="1:33" ht="13">
      <c r="A43" s="32"/>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spans="1:33" ht="13">
      <c r="A44" s="42" t="s">
        <v>86</v>
      </c>
      <c r="B44" s="42" t="s">
        <v>12</v>
      </c>
      <c r="C44" s="42" t="s">
        <v>13</v>
      </c>
      <c r="D44" s="42" t="s">
        <v>56</v>
      </c>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row>
    <row r="45" spans="1:33" ht="13">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spans="1:33" ht="13">
      <c r="A46" s="32"/>
      <c r="B46" s="20"/>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row>
    <row r="47" spans="1:33" ht="13">
      <c r="A47" s="43" t="s">
        <v>87</v>
      </c>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row>
    <row r="48" spans="1:33" ht="13">
      <c r="A48" s="44" t="s">
        <v>19</v>
      </c>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row>
    <row r="49" spans="1:33" ht="13">
      <c r="A49" s="46" t="s">
        <v>88</v>
      </c>
      <c r="B49" s="46" t="s">
        <v>8</v>
      </c>
      <c r="C49" s="46" t="s">
        <v>19</v>
      </c>
      <c r="D49" s="47" t="s">
        <v>57</v>
      </c>
      <c r="E49" s="46"/>
      <c r="F49" s="48"/>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row>
    <row r="50" spans="1:33" ht="13">
      <c r="A50" s="4" t="s">
        <v>99</v>
      </c>
      <c r="B50" s="4" t="s">
        <v>114</v>
      </c>
      <c r="C50" s="18">
        <f>G21*B41</f>
        <v>522720</v>
      </c>
      <c r="D50" s="33">
        <f>C50/B40</f>
        <v>6.7625750362243844</v>
      </c>
      <c r="E50" s="18"/>
      <c r="F50" s="34"/>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row>
    <row r="51" spans="1:33" ht="13">
      <c r="A51" s="4" t="s">
        <v>99</v>
      </c>
      <c r="B51" s="4" t="s">
        <v>119</v>
      </c>
      <c r="C51" s="18">
        <f>G22*B41</f>
        <v>844800</v>
      </c>
      <c r="D51" s="33">
        <f>C51/B40</f>
        <v>10.9294141999586</v>
      </c>
      <c r="E51" s="18"/>
      <c r="F51" s="34"/>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row>
    <row r="52" spans="1:33" ht="13">
      <c r="A52" s="4" t="s">
        <v>99</v>
      </c>
      <c r="B52" s="4" t="s">
        <v>123</v>
      </c>
      <c r="C52" s="18">
        <f>G23*B41</f>
        <v>45000</v>
      </c>
      <c r="D52" s="33">
        <f>C52/B40</f>
        <v>0.58217760298074928</v>
      </c>
      <c r="E52" s="18"/>
      <c r="F52" s="34"/>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row>
    <row r="53" spans="1:33" ht="13">
      <c r="A53" s="4" t="s">
        <v>99</v>
      </c>
      <c r="B53" s="4" t="s">
        <v>128</v>
      </c>
      <c r="C53" s="18">
        <f>G24*B41</f>
        <v>45000</v>
      </c>
      <c r="D53" s="33">
        <f>C53/B40</f>
        <v>0.58217760298074928</v>
      </c>
      <c r="E53" s="18"/>
      <c r="F53" s="34"/>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row>
    <row r="54" spans="1:33" ht="13">
      <c r="A54" s="4" t="s">
        <v>101</v>
      </c>
      <c r="B54" s="4" t="s">
        <v>132</v>
      </c>
      <c r="C54" s="18">
        <f>G25*B41</f>
        <v>60024</v>
      </c>
      <c r="D54" s="33">
        <f>C54/B40</f>
        <v>0.77654729869592221</v>
      </c>
      <c r="E54" s="18"/>
      <c r="F54" s="34"/>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row>
    <row r="55" spans="1:33" ht="13">
      <c r="A55" s="4" t="s">
        <v>103</v>
      </c>
      <c r="B55" s="4" t="s">
        <v>137</v>
      </c>
      <c r="C55" s="18">
        <f>G26*B41*0.1</f>
        <v>2640</v>
      </c>
      <c r="D55" s="33">
        <f>C55/B40</f>
        <v>3.4154419374870626E-2</v>
      </c>
      <c r="E55" s="18"/>
      <c r="F55" s="34"/>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row>
    <row r="56" spans="1:33" ht="13">
      <c r="A56" s="4" t="s">
        <v>103</v>
      </c>
      <c r="B56" s="4" t="s">
        <v>141</v>
      </c>
      <c r="C56" s="18">
        <f>G27*B41</f>
        <v>89232</v>
      </c>
      <c r="D56" s="33">
        <f>C56/B40</f>
        <v>1.1544193748706273</v>
      </c>
      <c r="E56" s="18"/>
      <c r="F56" s="34"/>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row>
    <row r="57" spans="1:33" ht="13">
      <c r="A57" s="4" t="s">
        <v>105</v>
      </c>
      <c r="B57" s="4" t="s">
        <v>145</v>
      </c>
      <c r="C57" s="18">
        <f>G28*B41</f>
        <v>30000</v>
      </c>
      <c r="D57" s="33">
        <f>C57/B40</f>
        <v>0.38811840198716624</v>
      </c>
      <c r="E57" s="18"/>
      <c r="F57" s="34"/>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row>
    <row r="58" spans="1:33" ht="13">
      <c r="E58" s="18"/>
      <c r="F58" s="34"/>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row>
    <row r="59" spans="1:33" ht="13">
      <c r="A59" s="4" t="s">
        <v>108</v>
      </c>
      <c r="B59" s="4" t="s">
        <v>153</v>
      </c>
      <c r="C59" s="18">
        <f>G30*B41*-1</f>
        <v>-16200</v>
      </c>
      <c r="D59" s="33">
        <f>C59/B40</f>
        <v>-0.20958393707306977</v>
      </c>
      <c r="E59" s="18"/>
      <c r="F59" s="34"/>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row>
    <row r="60" spans="1:33" ht="13">
      <c r="A60" s="4" t="s">
        <v>4</v>
      </c>
      <c r="B60" s="4" t="s">
        <v>149</v>
      </c>
      <c r="C60" s="18">
        <f>G29*B41</f>
        <v>72588</v>
      </c>
      <c r="D60" s="33">
        <f>C60/B40</f>
        <v>0.93909128544814735</v>
      </c>
      <c r="E60" s="18"/>
      <c r="F60" s="34"/>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row>
    <row r="61" spans="1:33" ht="13">
      <c r="A61" s="18"/>
      <c r="B61" s="18"/>
      <c r="C61" s="18"/>
      <c r="D61" s="33"/>
      <c r="E61" s="18"/>
      <c r="F61" s="34"/>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row>
    <row r="62" spans="1:33" ht="13">
      <c r="A62" s="18"/>
      <c r="B62" s="18"/>
      <c r="C62" s="25"/>
      <c r="D62" s="33"/>
      <c r="E62" s="25"/>
      <c r="F62" s="34"/>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row>
    <row r="63" spans="1:33" ht="13">
      <c r="A63" s="20"/>
      <c r="B63" s="20"/>
      <c r="C63" s="25"/>
      <c r="D63" s="33"/>
      <c r="E63" s="18"/>
      <c r="F63" s="34"/>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row>
    <row r="64" spans="1:33" ht="13">
      <c r="A64" s="20"/>
      <c r="B64" s="20"/>
      <c r="C64" s="18"/>
      <c r="D64" s="33"/>
      <c r="E64" s="18"/>
      <c r="F64" s="34"/>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row>
    <row r="65" spans="1:33" ht="13">
      <c r="A65" s="18"/>
      <c r="B65" s="18"/>
      <c r="C65" s="18"/>
      <c r="D65" s="33"/>
      <c r="E65" s="18"/>
      <c r="F65" s="34"/>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row>
    <row r="66" spans="1:33" ht="13">
      <c r="A66" s="71" t="s">
        <v>89</v>
      </c>
      <c r="B66" s="72"/>
      <c r="C66" s="50">
        <f>SUM(D50:D60)</f>
        <v>21.93909128544815</v>
      </c>
      <c r="D66" s="50"/>
      <c r="E66" s="49"/>
      <c r="F66" s="51"/>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row>
    <row r="67" spans="1:33" ht="13">
      <c r="A67" s="73" t="s">
        <v>90</v>
      </c>
      <c r="B67" s="74"/>
      <c r="C67" s="33">
        <f>D60</f>
        <v>0.93909128544814735</v>
      </c>
      <c r="D67" s="18"/>
      <c r="E67" s="18"/>
      <c r="F67" s="34"/>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row>
    <row r="68" spans="1:33" ht="13">
      <c r="A68" s="75" t="s">
        <v>91</v>
      </c>
      <c r="B68" s="74"/>
      <c r="C68" s="13">
        <f>SUM(D50:D59)</f>
        <v>21.000000000000004</v>
      </c>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spans="1:33" ht="13">
      <c r="A69" s="1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spans="1:33" ht="13">
      <c r="A70" s="52" t="s">
        <v>92</v>
      </c>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row>
    <row r="71" spans="1:33" ht="13">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row>
    <row r="72" spans="1:33" ht="13">
      <c r="A72" s="4" t="s">
        <v>170</v>
      </c>
      <c r="B72" s="23">
        <v>475000</v>
      </c>
      <c r="C72" s="4" t="s">
        <v>171</v>
      </c>
      <c r="D72" s="4" t="s">
        <v>172</v>
      </c>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row>
    <row r="73" spans="1:33" ht="13">
      <c r="A73" s="4" t="s">
        <v>173</v>
      </c>
      <c r="B73" s="23">
        <v>152000</v>
      </c>
      <c r="C73" s="4" t="s">
        <v>171</v>
      </c>
      <c r="D73" s="4" t="s">
        <v>174</v>
      </c>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row>
    <row r="74" spans="1:33" ht="13">
      <c r="A74" s="18"/>
      <c r="B74" s="18"/>
      <c r="C74" s="25"/>
      <c r="D74" s="35"/>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row>
    <row r="75" spans="1:33" ht="13">
      <c r="A75" s="18"/>
      <c r="B75" s="18"/>
      <c r="C75" s="25"/>
      <c r="D75" s="35"/>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row>
    <row r="76" spans="1:33" ht="13">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row>
    <row r="77" spans="1:33" ht="13">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row>
    <row r="78" spans="1:33" ht="13">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row>
    <row r="79" spans="1:33" ht="13">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row>
    <row r="80" spans="1:33" ht="13">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row>
    <row r="81" spans="1:33" ht="13">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row>
    <row r="82" spans="1:33" ht="13">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row>
    <row r="83" spans="1:33" ht="1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row>
    <row r="84" spans="1:33" ht="13">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row>
    <row r="85" spans="1:33" ht="13">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row>
    <row r="86" spans="1:33" ht="13">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row>
    <row r="87" spans="1:33" ht="13">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row>
    <row r="88" spans="1:33" ht="13">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row>
    <row r="89" spans="1:33" ht="13">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row>
    <row r="90" spans="1:33" ht="13">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row>
    <row r="91" spans="1:33" ht="13">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row>
    <row r="92" spans="1:33" ht="13">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row>
    <row r="93" spans="1:33" ht="1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row>
    <row r="94" spans="1:33" ht="13">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row>
    <row r="95" spans="1:33" ht="13">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row>
    <row r="96" spans="1:33" ht="13">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row>
    <row r="97" spans="1:33" ht="13">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row>
    <row r="98" spans="1:33" ht="13">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row>
    <row r="99" spans="1:33" ht="13">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row>
    <row r="100" spans="1:33" ht="13">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row>
    <row r="101" spans="1:33" ht="13">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row>
    <row r="102" spans="1:33" ht="13">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row>
    <row r="103" spans="1:33" ht="1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row>
    <row r="104" spans="1:33" ht="13">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row>
    <row r="105" spans="1:33" ht="13">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row>
    <row r="106" spans="1:33" ht="13">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row>
    <row r="107" spans="1:33" ht="13">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row>
    <row r="108" spans="1:33" ht="13">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row>
    <row r="109" spans="1:33" ht="13">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row>
    <row r="110" spans="1:33" ht="13">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row>
    <row r="111" spans="1:33" ht="13">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row>
    <row r="112" spans="1:33" ht="13">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row>
    <row r="113" spans="1:33" ht="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row>
    <row r="114" spans="1:33" ht="13">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row>
    <row r="115" spans="1:33" ht="13">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row>
    <row r="116" spans="1:33" ht="13">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row>
    <row r="117" spans="1:33" ht="13">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row>
    <row r="118" spans="1:33" ht="13">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row>
    <row r="119" spans="1:33" ht="13">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row>
    <row r="120" spans="1:33" ht="13">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row>
    <row r="121" spans="1:33" ht="13">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row>
    <row r="122" spans="1:33" ht="13">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row>
    <row r="123" spans="1:33" ht="1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row>
    <row r="124" spans="1:33" ht="13">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row>
    <row r="125" spans="1:33" ht="13">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row>
    <row r="126" spans="1:33" ht="13">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row>
    <row r="127" spans="1:33" ht="13">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row>
    <row r="128" spans="1:33" ht="13">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row>
    <row r="129" spans="1:33" ht="13">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row>
    <row r="130" spans="1:33" ht="13">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row>
    <row r="131" spans="1:33" ht="13">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row>
    <row r="132" spans="1:33" ht="13">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row>
    <row r="133" spans="1:33" ht="1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row>
    <row r="134" spans="1:33" ht="13">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row>
    <row r="135" spans="1:33" ht="13">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row>
    <row r="136" spans="1:33" ht="13">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row>
    <row r="137" spans="1:33" ht="13">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row>
    <row r="138" spans="1:33" ht="13">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row>
    <row r="139" spans="1:33" ht="13">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row>
    <row r="140" spans="1:33" ht="13">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row>
    <row r="141" spans="1:33" ht="13">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row>
    <row r="142" spans="1:33" ht="13">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row>
    <row r="143" spans="1:33" ht="1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row>
    <row r="144" spans="1:33" ht="13">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row>
    <row r="145" spans="1:33" ht="13">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row>
    <row r="146" spans="1:33" ht="13">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row>
    <row r="147" spans="1:33" ht="13">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row>
    <row r="148" spans="1:33" ht="13">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row>
    <row r="149" spans="1:33" ht="13">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row>
    <row r="150" spans="1:33" ht="13">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row>
    <row r="151" spans="1:33" ht="13">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row>
    <row r="152" spans="1:33" ht="13">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row>
    <row r="153" spans="1:33" ht="1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row>
    <row r="154" spans="1:33" ht="13">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row>
    <row r="155" spans="1:33" ht="13">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row>
    <row r="156" spans="1:33" ht="13">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row>
    <row r="157" spans="1:33" ht="13">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row>
    <row r="158" spans="1:33" ht="13">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row>
    <row r="159" spans="1:33" ht="13">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row>
    <row r="160" spans="1:33" ht="13">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row>
    <row r="161" spans="1:33" ht="13">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row>
    <row r="162" spans="1:33" ht="13">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row>
    <row r="163" spans="1:33" ht="1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row>
    <row r="164" spans="1:33" ht="13">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row>
    <row r="165" spans="1:33" ht="13">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row>
    <row r="166" spans="1:33" ht="13">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row>
    <row r="167" spans="1:33" ht="13">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row>
    <row r="168" spans="1:33" ht="13">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row>
    <row r="169" spans="1:33" ht="13">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row>
    <row r="170" spans="1:33" ht="13">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row>
    <row r="171" spans="1:33" ht="13">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row>
    <row r="172" spans="1:33" ht="13">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row>
    <row r="173" spans="1:33" ht="1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row>
    <row r="174" spans="1:33" ht="13">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row>
    <row r="175" spans="1:33" ht="13">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row>
    <row r="176" spans="1:33" ht="13">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row>
    <row r="177" spans="1:33" ht="13">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row>
    <row r="178" spans="1:33" ht="13">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row>
    <row r="179" spans="1:33" ht="13">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row>
    <row r="180" spans="1:33" ht="13">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row>
    <row r="181" spans="1:33" ht="13">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row>
    <row r="182" spans="1:33" ht="13">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row>
    <row r="183" spans="1:33" ht="1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row>
    <row r="184" spans="1:33" ht="13">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row>
    <row r="185" spans="1:33" ht="13">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row>
    <row r="186" spans="1:33" ht="13">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row>
    <row r="187" spans="1:33" ht="13">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row>
    <row r="188" spans="1:33" ht="13">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row>
    <row r="189" spans="1:33" ht="13">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row>
    <row r="190" spans="1:33" ht="13">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row>
    <row r="191" spans="1:33" ht="13">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row>
    <row r="192" spans="1:33" ht="13">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row>
    <row r="193" spans="1:33" ht="1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row>
    <row r="194" spans="1:33" ht="13">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row>
    <row r="195" spans="1:33" ht="13">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row>
    <row r="196" spans="1:33" ht="13">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row>
    <row r="197" spans="1:33" ht="13">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row>
    <row r="198" spans="1:33" ht="13">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row>
    <row r="199" spans="1:33" ht="13">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row>
    <row r="200" spans="1:33" ht="13">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row>
    <row r="201" spans="1:33" ht="13">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row>
    <row r="202" spans="1:33" ht="13">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row>
    <row r="203" spans="1:33" ht="1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row>
    <row r="204" spans="1:33" ht="13">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row>
    <row r="205" spans="1:33" ht="13">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row>
    <row r="206" spans="1:33" ht="13">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row>
    <row r="207" spans="1:33" ht="13">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row>
    <row r="208" spans="1:33" ht="13">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row>
    <row r="209" spans="1:33" ht="13">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row>
    <row r="210" spans="1:33" ht="13">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row>
    <row r="211" spans="1:33" ht="13">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row>
    <row r="212" spans="1:33" ht="13">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row>
    <row r="213" spans="1:33" ht="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row>
    <row r="214" spans="1:33" ht="13">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row>
    <row r="215" spans="1:33" ht="13">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row>
    <row r="216" spans="1:33" ht="13">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row>
    <row r="217" spans="1:33" ht="13">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row>
    <row r="218" spans="1:33" ht="13">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row>
    <row r="219" spans="1:33" ht="13">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row>
    <row r="220" spans="1:33" ht="13">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row>
    <row r="221" spans="1:33" ht="13">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row>
    <row r="222" spans="1:33" ht="13">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row>
    <row r="223" spans="1:33" ht="1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row>
    <row r="224" spans="1:33" ht="13">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row>
    <row r="225" spans="1:33" ht="13">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row>
    <row r="226" spans="1:33" ht="13">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row>
    <row r="227" spans="1:33" ht="13">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row>
    <row r="228" spans="1:33" ht="13">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row>
    <row r="229" spans="1:33" ht="13">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row>
    <row r="230" spans="1:33" ht="13">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row>
    <row r="231" spans="1:33" ht="13">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row>
    <row r="232" spans="1:33" ht="13">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row>
    <row r="233" spans="1:33" ht="1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row>
    <row r="234" spans="1:33" ht="13">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row>
    <row r="235" spans="1:33" ht="13">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row>
    <row r="236" spans="1:33" ht="13">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row>
    <row r="237" spans="1:33" ht="13">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row>
    <row r="238" spans="1:33" ht="13">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row>
    <row r="239" spans="1:33" ht="13">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row>
    <row r="240" spans="1:33" ht="13">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row>
    <row r="241" spans="1:33" ht="13">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row>
    <row r="242" spans="1:33" ht="13">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row>
    <row r="243" spans="1:33" ht="1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row>
    <row r="244" spans="1:33" ht="13">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row>
    <row r="245" spans="1:33" ht="13">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row>
    <row r="246" spans="1:33" ht="13">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row>
    <row r="247" spans="1:33" ht="13">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row>
    <row r="248" spans="1:33" ht="13">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row>
    <row r="249" spans="1:33" ht="13">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row>
    <row r="250" spans="1:33" ht="13">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row>
    <row r="251" spans="1:33" ht="13">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row>
    <row r="252" spans="1:33" ht="13">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row>
    <row r="253" spans="1:33" ht="1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row>
    <row r="254" spans="1:33" ht="13">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row>
    <row r="255" spans="1:33" ht="13">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row>
    <row r="256" spans="1:33" ht="13">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row>
    <row r="257" spans="1:33" ht="13">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row>
    <row r="258" spans="1:33" ht="13">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row>
    <row r="259" spans="1:33" ht="13">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row>
    <row r="260" spans="1:33" ht="13">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row>
    <row r="261" spans="1:33" ht="13">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row>
    <row r="262" spans="1:33" ht="13">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row>
    <row r="263" spans="1:33" ht="1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row>
    <row r="264" spans="1:33" ht="13">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row>
    <row r="265" spans="1:33" ht="13">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row>
    <row r="266" spans="1:33" ht="13">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row>
    <row r="267" spans="1:33" ht="13">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row>
    <row r="268" spans="1:33" ht="13">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row>
    <row r="269" spans="1:33" ht="13">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row>
    <row r="270" spans="1:33" ht="13">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row>
    <row r="271" spans="1:33" ht="13">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row>
    <row r="272" spans="1:33" ht="13">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row>
    <row r="273" spans="1:33" ht="1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row>
    <row r="274" spans="1:33" ht="13">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row>
    <row r="275" spans="1:33" ht="13">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row>
    <row r="276" spans="1:33" ht="13">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row>
    <row r="277" spans="1:33" ht="13">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row>
    <row r="278" spans="1:33" ht="13">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row>
    <row r="279" spans="1:33" ht="13">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row>
    <row r="280" spans="1:33" ht="13">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row>
    <row r="281" spans="1:33" ht="13">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row>
    <row r="282" spans="1:33" ht="13">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row>
    <row r="283" spans="1:33" ht="1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row>
    <row r="284" spans="1:33" ht="13">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row>
    <row r="285" spans="1:33" ht="13">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row>
    <row r="286" spans="1:33" ht="13">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row>
    <row r="287" spans="1:33" ht="13">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row>
    <row r="288" spans="1:33" ht="13">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row>
    <row r="289" spans="1:33" ht="13">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row>
    <row r="290" spans="1:33" ht="13">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row>
    <row r="291" spans="1:33" ht="13">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row>
    <row r="292" spans="1:33" ht="13">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row>
    <row r="293" spans="1:33" ht="1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row>
    <row r="294" spans="1:33" ht="13">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row>
    <row r="295" spans="1:33" ht="13">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row>
    <row r="296" spans="1:33" ht="13">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row>
    <row r="297" spans="1:33" ht="13">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row>
    <row r="298" spans="1:33" ht="13">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row>
    <row r="299" spans="1:33" ht="13">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row>
    <row r="300" spans="1:33" ht="13">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row>
    <row r="301" spans="1:33" ht="13">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row>
    <row r="302" spans="1:33" ht="13">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row>
    <row r="303" spans="1:33" ht="1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row>
    <row r="304" spans="1:33" ht="13">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row>
    <row r="305" spans="1:33" ht="13">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row>
    <row r="306" spans="1:33" ht="13">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row>
    <row r="307" spans="1:33" ht="13">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row>
    <row r="308" spans="1:33" ht="13">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row>
    <row r="309" spans="1:33" ht="13">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row>
    <row r="310" spans="1:33" ht="13">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row>
    <row r="311" spans="1:33" ht="13">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row>
    <row r="312" spans="1:33" ht="13">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row>
    <row r="313" spans="1:33" ht="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row>
    <row r="314" spans="1:33" ht="13">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row>
    <row r="315" spans="1:33" ht="13">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row>
    <row r="316" spans="1:33" ht="13">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row>
    <row r="317" spans="1:33" ht="13">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row>
    <row r="318" spans="1:33" ht="13">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row>
    <row r="319" spans="1:33" ht="13">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row>
    <row r="320" spans="1:33" ht="13">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row>
    <row r="321" spans="1:33" ht="13">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row>
    <row r="322" spans="1:33" ht="13">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row>
    <row r="323" spans="1:33" ht="1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row>
    <row r="324" spans="1:33" ht="13">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row>
    <row r="325" spans="1:33" ht="13">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row>
    <row r="326" spans="1:33" ht="13">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row>
    <row r="327" spans="1:33" ht="13">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row>
    <row r="328" spans="1:33" ht="13">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row>
    <row r="329" spans="1:33" ht="13">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row>
    <row r="330" spans="1:33" ht="13">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row>
    <row r="331" spans="1:33" ht="13">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row>
    <row r="332" spans="1:33" ht="13">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row>
    <row r="333" spans="1:33" ht="1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row>
    <row r="334" spans="1:33" ht="13">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row>
    <row r="335" spans="1:33" ht="13">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row>
    <row r="336" spans="1:33" ht="13">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row>
    <row r="337" spans="1:33" ht="13">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row>
    <row r="338" spans="1:33" ht="13">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row>
    <row r="339" spans="1:33" ht="13">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row>
    <row r="340" spans="1:33" ht="13">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row>
    <row r="341" spans="1:33" ht="13">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row>
    <row r="342" spans="1:33" ht="13">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row>
    <row r="343" spans="1:33" ht="1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row>
    <row r="344" spans="1:33" ht="13">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row>
    <row r="345" spans="1:33" ht="13">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row>
    <row r="346" spans="1:33" ht="13">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row>
    <row r="347" spans="1:33" ht="13">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row>
    <row r="348" spans="1:33" ht="13">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row>
    <row r="349" spans="1:33" ht="13">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row>
    <row r="350" spans="1:33" ht="13">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row>
    <row r="351" spans="1:33" ht="13">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row>
    <row r="352" spans="1:33" ht="13">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row>
    <row r="353" spans="1:33" ht="1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row>
    <row r="354" spans="1:33" ht="13">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row>
    <row r="355" spans="1:33" ht="13">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row>
    <row r="356" spans="1:33" ht="13">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row>
    <row r="357" spans="1:33" ht="13">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row>
    <row r="358" spans="1:33" ht="13">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row>
    <row r="359" spans="1:33" ht="13">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row>
    <row r="360" spans="1:33" ht="13">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row>
    <row r="361" spans="1:33" ht="13">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row>
    <row r="362" spans="1:33" ht="13">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row>
    <row r="363" spans="1:33" ht="1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row>
    <row r="364" spans="1:33" ht="13">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row>
    <row r="365" spans="1:33" ht="13">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row>
    <row r="366" spans="1:33" ht="13">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row>
    <row r="367" spans="1:33" ht="13">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row>
    <row r="368" spans="1:33" ht="13">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row>
    <row r="369" spans="1:33" ht="13">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row>
    <row r="370" spans="1:33" ht="13">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row>
    <row r="371" spans="1:33" ht="13">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row>
    <row r="372" spans="1:33" ht="13">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row>
    <row r="373" spans="1:33" ht="1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row>
    <row r="374" spans="1:33" ht="13">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row>
    <row r="375" spans="1:33" ht="13">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row>
    <row r="376" spans="1:33" ht="13">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row>
    <row r="377" spans="1:33" ht="13">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row>
    <row r="378" spans="1:33" ht="13">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row>
    <row r="379" spans="1:33" ht="13">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row>
    <row r="380" spans="1:33" ht="13">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row>
    <row r="381" spans="1:33" ht="13">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row>
    <row r="382" spans="1:33" ht="13">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row>
    <row r="383" spans="1:33" ht="1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row>
    <row r="384" spans="1:33" ht="13">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row>
    <row r="385" spans="1:33" ht="13">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row>
    <row r="386" spans="1:33" ht="13">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row>
    <row r="387" spans="1:33" ht="13">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row>
    <row r="388" spans="1:33" ht="13">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row>
    <row r="389" spans="1:33" ht="13">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row>
    <row r="390" spans="1:33" ht="13">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row>
    <row r="391" spans="1:33" ht="13">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row>
    <row r="392" spans="1:33" ht="13">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row>
    <row r="393" spans="1:33" ht="1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row>
    <row r="394" spans="1:33" ht="13">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row>
    <row r="395" spans="1:33" ht="13">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row>
    <row r="396" spans="1:33" ht="13">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row>
    <row r="397" spans="1:33" ht="13">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row>
    <row r="398" spans="1:33" ht="13">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row>
    <row r="399" spans="1:33" ht="13">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row>
    <row r="400" spans="1:33" ht="13">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row>
    <row r="401" spans="1:33" ht="13">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row>
    <row r="402" spans="1:33" ht="13">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row>
    <row r="403" spans="1:33" ht="1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row>
    <row r="404" spans="1:33" ht="13">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row>
    <row r="405" spans="1:33" ht="13">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row>
    <row r="406" spans="1:33" ht="13">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row>
    <row r="407" spans="1:33" ht="13">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row>
    <row r="408" spans="1:33" ht="13">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row>
    <row r="409" spans="1:33" ht="13">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row>
    <row r="410" spans="1:33" ht="13">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row>
    <row r="411" spans="1:33" ht="13">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row>
    <row r="412" spans="1:33" ht="13">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row>
    <row r="413" spans="1:33" ht="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row>
    <row r="414" spans="1:33" ht="13">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row>
    <row r="415" spans="1:33" ht="13">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row>
    <row r="416" spans="1:33" ht="13">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row>
    <row r="417" spans="1:33" ht="13">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row>
    <row r="418" spans="1:33" ht="13">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row>
    <row r="419" spans="1:33" ht="13">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row>
    <row r="420" spans="1:33" ht="13">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row>
    <row r="421" spans="1:33" ht="13">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row>
    <row r="422" spans="1:33" ht="13">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row>
    <row r="423" spans="1:33" ht="1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row>
    <row r="424" spans="1:33" ht="13">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row>
    <row r="425" spans="1:33" ht="13">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row>
    <row r="426" spans="1:33" ht="13">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row>
    <row r="427" spans="1:33" ht="13">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row>
    <row r="428" spans="1:33" ht="13">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row>
    <row r="429" spans="1:33" ht="13">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row>
    <row r="430" spans="1:33" ht="13">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row>
    <row r="431" spans="1:33" ht="13">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row>
    <row r="432" spans="1:33" ht="13">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row>
    <row r="433" spans="1:33" ht="1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row>
    <row r="434" spans="1:33" ht="13">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row>
    <row r="435" spans="1:33" ht="13">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row>
    <row r="436" spans="1:33" ht="13">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row>
    <row r="437" spans="1:33" ht="13">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row>
    <row r="438" spans="1:33" ht="13">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row>
    <row r="439" spans="1:33" ht="13">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row>
    <row r="440" spans="1:33" ht="13">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row>
    <row r="441" spans="1:33" ht="13">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row>
    <row r="442" spans="1:33" ht="13">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row>
    <row r="443" spans="1:33" ht="1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row>
    <row r="444" spans="1:33" ht="13">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row>
    <row r="445" spans="1:33" ht="13">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row>
    <row r="446" spans="1:33" ht="13">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row>
    <row r="447" spans="1:33" ht="13">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row>
    <row r="448" spans="1:33" ht="13">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row>
    <row r="449" spans="1:33" ht="13">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row>
    <row r="450" spans="1:33" ht="13">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row>
    <row r="451" spans="1:33" ht="13">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row>
    <row r="452" spans="1:33" ht="13">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row>
    <row r="453" spans="1:33" ht="1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row>
    <row r="454" spans="1:33" ht="13">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row>
    <row r="455" spans="1:33" ht="13">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row>
    <row r="456" spans="1:33" ht="13">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row>
    <row r="457" spans="1:33" ht="13">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row>
    <row r="458" spans="1:33" ht="13">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row>
    <row r="459" spans="1:33" ht="13">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row>
    <row r="460" spans="1:33" ht="13">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row>
    <row r="461" spans="1:33" ht="13">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row>
    <row r="462" spans="1:33" ht="13">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row>
    <row r="463" spans="1:33" ht="1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row>
    <row r="464" spans="1:33" ht="13">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row>
    <row r="465" spans="1:33" ht="13">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row>
    <row r="466" spans="1:33" ht="13">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row>
    <row r="467" spans="1:33" ht="13">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row>
    <row r="468" spans="1:33" ht="13">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row>
    <row r="469" spans="1:33" ht="13">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row>
    <row r="470" spans="1:33" ht="13">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row>
    <row r="471" spans="1:33" ht="13">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row>
    <row r="472" spans="1:33" ht="13">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row>
    <row r="473" spans="1:33" ht="1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row>
    <row r="474" spans="1:33" ht="13">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row>
    <row r="475" spans="1:33" ht="13">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row>
    <row r="476" spans="1:33" ht="13">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row>
    <row r="477" spans="1:33" ht="13">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row>
    <row r="478" spans="1:33" ht="13">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row>
    <row r="479" spans="1:33" ht="13">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row>
    <row r="480" spans="1:33" ht="13">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row>
    <row r="481" spans="1:33" ht="13">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row>
    <row r="482" spans="1:33" ht="13">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row>
    <row r="483" spans="1:33" ht="1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row>
    <row r="484" spans="1:33" ht="13">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row>
    <row r="485" spans="1:33" ht="13">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row>
    <row r="486" spans="1:33" ht="13">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row>
    <row r="487" spans="1:33" ht="13">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row>
    <row r="488" spans="1:33" ht="13">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row>
    <row r="489" spans="1:33" ht="13">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row>
    <row r="490" spans="1:33" ht="13">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row>
    <row r="491" spans="1:33" ht="13">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row>
    <row r="492" spans="1:33" ht="13">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row>
    <row r="493" spans="1:33" ht="1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row>
    <row r="494" spans="1:33" ht="13">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row>
    <row r="495" spans="1:33" ht="13">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row>
    <row r="496" spans="1:33" ht="13">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row>
    <row r="497" spans="1:33" ht="13">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row>
    <row r="498" spans="1:33" ht="13">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row>
    <row r="499" spans="1:33" ht="13">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row>
    <row r="500" spans="1:33" ht="13">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row>
    <row r="501" spans="1:33" ht="13">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row>
    <row r="502" spans="1:33" ht="13">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row>
    <row r="503" spans="1:33" ht="1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row>
    <row r="504" spans="1:33" ht="13">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row>
    <row r="505" spans="1:33" ht="13">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row>
    <row r="506" spans="1:33" ht="13">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row>
    <row r="507" spans="1:33" ht="13">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row>
    <row r="508" spans="1:33" ht="13">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row>
    <row r="509" spans="1:33" ht="13">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row>
    <row r="510" spans="1:33" ht="13">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row>
    <row r="511" spans="1:33" ht="13">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row>
    <row r="512" spans="1:33" ht="13">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row>
    <row r="513" spans="1:33" ht="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row>
    <row r="514" spans="1:33" ht="13">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row>
    <row r="515" spans="1:33" ht="13">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row>
    <row r="516" spans="1:33" ht="13">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row>
    <row r="517" spans="1:33" ht="13">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row>
    <row r="518" spans="1:33" ht="13">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row>
    <row r="519" spans="1:33" ht="13">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row>
    <row r="520" spans="1:33" ht="13">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row>
    <row r="521" spans="1:33" ht="13">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row>
    <row r="522" spans="1:33" ht="13">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row>
    <row r="523" spans="1:33" ht="1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row>
    <row r="524" spans="1:33" ht="13">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row>
    <row r="525" spans="1:33" ht="13">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row>
    <row r="526" spans="1:33" ht="13">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row>
    <row r="527" spans="1:33" ht="13">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row>
    <row r="528" spans="1:33" ht="13">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row>
    <row r="529" spans="1:33" ht="13">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row>
    <row r="530" spans="1:33" ht="13">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row>
    <row r="531" spans="1:33" ht="13">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row>
    <row r="532" spans="1:33" ht="13">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row>
    <row r="533" spans="1:33" ht="1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row>
    <row r="534" spans="1:33" ht="13">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row>
    <row r="535" spans="1:33" ht="13">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row>
    <row r="536" spans="1:33" ht="13">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row>
    <row r="537" spans="1:33" ht="13">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row>
    <row r="538" spans="1:33" ht="13">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row>
    <row r="539" spans="1:33" ht="13">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row>
    <row r="540" spans="1:33" ht="13">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row>
    <row r="541" spans="1:33" ht="13">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row>
    <row r="542" spans="1:33" ht="13">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row>
    <row r="543" spans="1:33" ht="1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row>
    <row r="544" spans="1:33" ht="13">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row>
    <row r="545" spans="1:33" ht="13">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row>
    <row r="546" spans="1:33" ht="13">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row>
    <row r="547" spans="1:33" ht="13">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row>
    <row r="548" spans="1:33" ht="13">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row>
    <row r="549" spans="1:33" ht="13">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row>
    <row r="550" spans="1:33" ht="13">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row>
    <row r="551" spans="1:33" ht="13">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row>
    <row r="552" spans="1:33" ht="13">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row>
    <row r="553" spans="1:33" ht="1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row>
    <row r="554" spans="1:33" ht="13">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row>
    <row r="555" spans="1:33" ht="13">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row>
    <row r="556" spans="1:33" ht="13">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row>
    <row r="557" spans="1:33" ht="13">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row>
    <row r="558" spans="1:33" ht="13">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row>
    <row r="559" spans="1:33" ht="13">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row>
    <row r="560" spans="1:33" ht="13">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row>
    <row r="561" spans="1:33" ht="13">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row>
    <row r="562" spans="1:33" ht="13">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row>
    <row r="563" spans="1:33" ht="1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row>
    <row r="564" spans="1:33" ht="13">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row>
    <row r="565" spans="1:33" ht="13">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row>
    <row r="566" spans="1:33" ht="13">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row>
    <row r="567" spans="1:33" ht="13">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row>
    <row r="568" spans="1:33" ht="13">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row>
    <row r="569" spans="1:33" ht="13">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row>
    <row r="570" spans="1:33" ht="13">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row>
    <row r="571" spans="1:33" ht="13">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row>
    <row r="572" spans="1:33" ht="13">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row>
    <row r="573" spans="1:33" ht="1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row>
    <row r="574" spans="1:33" ht="13">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row>
    <row r="575" spans="1:33" ht="13">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row>
    <row r="576" spans="1:33" ht="13">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row>
    <row r="577" spans="1:33" ht="13">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row>
    <row r="578" spans="1:33" ht="13">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row>
    <row r="579" spans="1:33" ht="13">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row>
    <row r="580" spans="1:33" ht="13">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row>
    <row r="581" spans="1:33" ht="13">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row>
    <row r="582" spans="1:33" ht="13">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row>
    <row r="583" spans="1:33" ht="1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row>
    <row r="584" spans="1:33" ht="13">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row>
    <row r="585" spans="1:33" ht="13">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row>
    <row r="586" spans="1:33" ht="13">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row>
    <row r="587" spans="1:33" ht="13">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row>
    <row r="588" spans="1:33" ht="13">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row>
    <row r="589" spans="1:33" ht="13">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row>
    <row r="590" spans="1:33" ht="13">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row>
    <row r="591" spans="1:33" ht="13">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row>
    <row r="592" spans="1:33" ht="13">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row>
    <row r="593" spans="1:33" ht="1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row>
    <row r="594" spans="1:33" ht="13">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row>
    <row r="595" spans="1:33" ht="13">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row>
    <row r="596" spans="1:33" ht="13">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row>
    <row r="597" spans="1:33" ht="13">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row>
    <row r="598" spans="1:33" ht="13">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row>
    <row r="599" spans="1:33" ht="13">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row>
    <row r="600" spans="1:33" ht="13">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row>
    <row r="601" spans="1:33" ht="13">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row>
    <row r="602" spans="1:33" ht="13">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row>
    <row r="603" spans="1:33" ht="1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row>
    <row r="604" spans="1:33" ht="13">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row>
    <row r="605" spans="1:33" ht="13">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row>
    <row r="606" spans="1:33" ht="13">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row>
    <row r="607" spans="1:33" ht="13">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row>
    <row r="608" spans="1:33" ht="13">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row>
    <row r="609" spans="1:33" ht="13">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row>
    <row r="610" spans="1:33" ht="13">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row>
    <row r="611" spans="1:33" ht="13">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row>
    <row r="612" spans="1:33" ht="13">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row>
    <row r="613" spans="1:33" ht="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row>
    <row r="614" spans="1:33" ht="13">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row>
    <row r="615" spans="1:33" ht="13">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row>
    <row r="616" spans="1:33" ht="13">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row>
    <row r="617" spans="1:33" ht="13">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row>
    <row r="618" spans="1:33" ht="13">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row>
    <row r="619" spans="1:33" ht="13">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row>
    <row r="620" spans="1:33" ht="13">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row>
    <row r="621" spans="1:33" ht="13">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row>
    <row r="622" spans="1:33" ht="13">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row>
    <row r="623" spans="1:33" ht="1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row>
    <row r="624" spans="1:33" ht="13">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row>
    <row r="625" spans="1:33" ht="13">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row>
    <row r="626" spans="1:33" ht="13">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row>
    <row r="627" spans="1:33" ht="13">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row>
    <row r="628" spans="1:33" ht="13">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row>
    <row r="629" spans="1:33" ht="13">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row>
    <row r="630" spans="1:33" ht="13">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row>
    <row r="631" spans="1:33" ht="13">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row>
    <row r="632" spans="1:33" ht="13">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row>
    <row r="633" spans="1:33" ht="1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row>
    <row r="634" spans="1:33" ht="13">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row>
    <row r="635" spans="1:33" ht="13">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row>
    <row r="636" spans="1:33" ht="13">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row>
    <row r="637" spans="1:33" ht="13">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row>
    <row r="638" spans="1:33" ht="13">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row>
    <row r="639" spans="1:33" ht="13">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row>
    <row r="640" spans="1:33" ht="13">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row>
    <row r="641" spans="1:33" ht="13">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row>
    <row r="642" spans="1:33" ht="13">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row>
    <row r="643" spans="1:33" ht="1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row>
    <row r="644" spans="1:33" ht="13">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row>
    <row r="645" spans="1:33" ht="13">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row>
    <row r="646" spans="1:33" ht="13">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row>
    <row r="647" spans="1:33" ht="13">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row>
    <row r="648" spans="1:33" ht="13">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row>
    <row r="649" spans="1:33" ht="13">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row>
    <row r="650" spans="1:33" ht="13">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row>
    <row r="651" spans="1:33" ht="13">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row>
    <row r="652" spans="1:33" ht="13">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row>
    <row r="653" spans="1:33" ht="1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row>
    <row r="654" spans="1:33" ht="13">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row>
    <row r="655" spans="1:33" ht="13">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row>
    <row r="656" spans="1:33" ht="13">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row>
    <row r="657" spans="1:33" ht="13">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row>
    <row r="658" spans="1:33" ht="13">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row>
    <row r="659" spans="1:33" ht="13">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row>
    <row r="660" spans="1:33" ht="13">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row>
    <row r="661" spans="1:33" ht="13">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row>
    <row r="662" spans="1:33" ht="13">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row>
    <row r="663" spans="1:33" ht="1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row>
    <row r="664" spans="1:33" ht="13">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row>
    <row r="665" spans="1:33" ht="13">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row>
    <row r="666" spans="1:33" ht="13">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row>
    <row r="667" spans="1:33" ht="13">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row>
    <row r="668" spans="1:33" ht="13">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row>
    <row r="669" spans="1:33" ht="13">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row>
    <row r="670" spans="1:33" ht="13">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row>
    <row r="671" spans="1:33" ht="13">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row>
    <row r="672" spans="1:33" ht="13">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row>
    <row r="673" spans="1:33" ht="1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row>
    <row r="674" spans="1:33" ht="13">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row>
    <row r="675" spans="1:33" ht="13">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row>
    <row r="676" spans="1:33" ht="13">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row>
    <row r="677" spans="1:33" ht="13">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row>
    <row r="678" spans="1:33" ht="13">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row>
    <row r="679" spans="1:33" ht="13">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row>
    <row r="680" spans="1:33" ht="13">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row>
    <row r="681" spans="1:33" ht="13">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row>
    <row r="682" spans="1:33" ht="13">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row>
    <row r="683" spans="1:33" ht="1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row>
    <row r="684" spans="1:33" ht="13">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row>
    <row r="685" spans="1:33" ht="13">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row>
    <row r="686" spans="1:33" ht="13">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row>
    <row r="687" spans="1:33" ht="13">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row>
    <row r="688" spans="1:33" ht="13">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row>
    <row r="689" spans="1:33" ht="13">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row>
    <row r="690" spans="1:33" ht="13">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row>
    <row r="691" spans="1:33" ht="13">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row>
    <row r="692" spans="1:33" ht="13">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row>
    <row r="693" spans="1:33" ht="1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row>
    <row r="694" spans="1:33" ht="13">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row>
    <row r="695" spans="1:33" ht="13">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row>
    <row r="696" spans="1:33" ht="13">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row>
    <row r="697" spans="1:33" ht="13">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row>
    <row r="698" spans="1:33" ht="13">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row>
    <row r="699" spans="1:33" ht="13">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row>
    <row r="700" spans="1:33" ht="13">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row>
    <row r="701" spans="1:33" ht="13">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row>
    <row r="702" spans="1:33" ht="13">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row>
    <row r="703" spans="1:33" ht="1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row>
    <row r="704" spans="1:33" ht="13">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row>
    <row r="705" spans="1:33" ht="13">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row>
    <row r="706" spans="1:33" ht="13">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row>
    <row r="707" spans="1:33" ht="13">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row>
    <row r="708" spans="1:33" ht="13">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row>
    <row r="709" spans="1:33" ht="13">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row>
    <row r="710" spans="1:33" ht="13">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row>
    <row r="711" spans="1:33" ht="13">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row>
    <row r="712" spans="1:33" ht="13">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row>
    <row r="713" spans="1:33" ht="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row>
    <row r="714" spans="1:33" ht="13">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row>
    <row r="715" spans="1:33" ht="13">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row>
    <row r="716" spans="1:33" ht="13">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row>
    <row r="717" spans="1:33" ht="13">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row>
    <row r="718" spans="1:33" ht="13">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row>
    <row r="719" spans="1:33" ht="13">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row>
    <row r="720" spans="1:33" ht="13">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row>
    <row r="721" spans="1:33" ht="13">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row>
    <row r="722" spans="1:33" ht="13">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row>
    <row r="723" spans="1:33" ht="1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row>
    <row r="724" spans="1:33" ht="13">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row>
    <row r="725" spans="1:33" ht="13">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row>
    <row r="726" spans="1:33" ht="13">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row>
    <row r="727" spans="1:33" ht="13">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row>
    <row r="728" spans="1:33" ht="13">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row>
    <row r="729" spans="1:33" ht="13">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row>
    <row r="730" spans="1:33" ht="13">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row>
    <row r="731" spans="1:33" ht="13">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row>
    <row r="732" spans="1:33" ht="13">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row>
    <row r="733" spans="1:33" ht="1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row>
    <row r="734" spans="1:33" ht="13">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row>
    <row r="735" spans="1:33" ht="13">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row>
    <row r="736" spans="1:33" ht="13">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row>
    <row r="737" spans="1:33" ht="13">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row>
    <row r="738" spans="1:33" ht="13">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row>
    <row r="739" spans="1:33" ht="13">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row>
    <row r="740" spans="1:33" ht="13">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row>
    <row r="741" spans="1:33" ht="13">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row>
    <row r="742" spans="1:33" ht="13">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row>
    <row r="743" spans="1:33" ht="1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row>
    <row r="744" spans="1:33" ht="13">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row>
    <row r="745" spans="1:33" ht="13">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row>
    <row r="746" spans="1:33" ht="13">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row>
    <row r="747" spans="1:33" ht="13">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row>
    <row r="748" spans="1:33" ht="13">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row>
    <row r="749" spans="1:33" ht="13">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row>
    <row r="750" spans="1:33" ht="13">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row>
    <row r="751" spans="1:33" ht="13">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row>
    <row r="752" spans="1:33" ht="13">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row>
    <row r="753" spans="1:33" ht="1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row>
    <row r="754" spans="1:33" ht="13">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row>
    <row r="755" spans="1:33" ht="13">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row>
    <row r="756" spans="1:33" ht="13">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row>
    <row r="757" spans="1:33" ht="13">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row>
    <row r="758" spans="1:33" ht="13">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row>
    <row r="759" spans="1:33" ht="13">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row>
    <row r="760" spans="1:33" ht="13">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row>
    <row r="761" spans="1:33" ht="13">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row>
    <row r="762" spans="1:33" ht="13">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row>
    <row r="763" spans="1:33" ht="1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row>
    <row r="764" spans="1:33" ht="13">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row>
    <row r="765" spans="1:33" ht="13">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row>
    <row r="766" spans="1:33" ht="13">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row>
    <row r="767" spans="1:33" ht="13">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row>
    <row r="768" spans="1:33" ht="13">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row>
    <row r="769" spans="1:33" ht="13">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row>
    <row r="770" spans="1:33" ht="13">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row>
    <row r="771" spans="1:33" ht="13">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row>
    <row r="772" spans="1:33" ht="13">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row>
    <row r="773" spans="1:33" ht="1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row>
    <row r="774" spans="1:33" ht="13">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row>
    <row r="775" spans="1:33" ht="13">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row>
    <row r="776" spans="1:33" ht="13">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row>
    <row r="777" spans="1:33" ht="13">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row>
    <row r="778" spans="1:33" ht="13">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row>
    <row r="779" spans="1:33" ht="13">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row>
    <row r="780" spans="1:33" ht="13">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row>
    <row r="781" spans="1:33" ht="13">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row>
    <row r="782" spans="1:33" ht="13">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row>
    <row r="783" spans="1:33" ht="1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row>
    <row r="784" spans="1:33" ht="13">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row>
    <row r="785" spans="1:33" ht="13">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row>
    <row r="786" spans="1:33" ht="13">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row>
    <row r="787" spans="1:33" ht="13">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row>
    <row r="788" spans="1:33" ht="13">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row>
    <row r="789" spans="1:33" ht="13">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row>
    <row r="790" spans="1:33" ht="13">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row>
    <row r="791" spans="1:33" ht="13">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row>
    <row r="792" spans="1:33" ht="13">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row>
    <row r="793" spans="1:33" ht="1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row>
    <row r="794" spans="1:33" ht="13">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row>
    <row r="795" spans="1:33" ht="13">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row>
    <row r="796" spans="1:33" ht="13">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row>
    <row r="797" spans="1:33" ht="13">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row>
    <row r="798" spans="1:33" ht="13">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row>
    <row r="799" spans="1:33" ht="13">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row>
    <row r="800" spans="1:33" ht="13">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row>
    <row r="801" spans="1:33" ht="13">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row>
    <row r="802" spans="1:33" ht="13">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row>
    <row r="803" spans="1:33" ht="1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row>
    <row r="804" spans="1:33" ht="13">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row>
    <row r="805" spans="1:33" ht="13">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row>
    <row r="806" spans="1:33" ht="13">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row>
    <row r="807" spans="1:33" ht="13">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row>
    <row r="808" spans="1:33" ht="13">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row>
    <row r="809" spans="1:33" ht="13">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row>
    <row r="810" spans="1:33" ht="13">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row>
    <row r="811" spans="1:33" ht="13">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row>
    <row r="812" spans="1:33" ht="13">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row>
    <row r="813" spans="1:33" ht="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row>
    <row r="814" spans="1:33" ht="13">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row>
    <row r="815" spans="1:33" ht="13">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row>
    <row r="816" spans="1:33" ht="13">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row>
    <row r="817" spans="1:33" ht="13">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row>
    <row r="818" spans="1:33" ht="13">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row>
    <row r="819" spans="1:33" ht="13">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row>
    <row r="820" spans="1:33" ht="13">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row>
    <row r="821" spans="1:33" ht="13">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row>
    <row r="822" spans="1:33" ht="13">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row>
    <row r="823" spans="1:33" ht="1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row>
    <row r="824" spans="1:33" ht="13">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row>
    <row r="825" spans="1:33" ht="13">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row>
    <row r="826" spans="1:33" ht="13">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row>
    <row r="827" spans="1:33" ht="13">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row>
    <row r="828" spans="1:33" ht="13">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row>
    <row r="829" spans="1:33" ht="13">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row>
    <row r="830" spans="1:33" ht="13">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row>
    <row r="831" spans="1:33" ht="13">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row>
    <row r="832" spans="1:33" ht="13">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row>
    <row r="833" spans="1:33" ht="1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row>
    <row r="834" spans="1:33" ht="13">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row>
    <row r="835" spans="1:33" ht="13">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row>
    <row r="836" spans="1:33" ht="13">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row>
    <row r="837" spans="1:33" ht="13">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row>
    <row r="838" spans="1:33" ht="13">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row>
    <row r="839" spans="1:33" ht="13">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row>
    <row r="840" spans="1:33" ht="13">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row>
    <row r="841" spans="1:33" ht="13">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row>
    <row r="842" spans="1:33" ht="13">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row>
    <row r="843" spans="1:33" ht="1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row>
    <row r="844" spans="1:33" ht="13">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row>
    <row r="845" spans="1:33" ht="13">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row>
    <row r="846" spans="1:33" ht="13">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row>
    <row r="847" spans="1:33" ht="13">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row>
    <row r="848" spans="1:33" ht="13">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row>
    <row r="849" spans="1:33" ht="13">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row>
    <row r="850" spans="1:33" ht="13">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row>
    <row r="851" spans="1:33" ht="13">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row>
    <row r="852" spans="1:33" ht="13">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row>
    <row r="853" spans="1:33" ht="1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row>
    <row r="854" spans="1:33" ht="13">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row>
    <row r="855" spans="1:33" ht="13">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row>
    <row r="856" spans="1:33" ht="13">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row>
    <row r="857" spans="1:33" ht="13">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row>
    <row r="858" spans="1:33" ht="13">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row>
    <row r="859" spans="1:33" ht="13">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row>
    <row r="860" spans="1:33" ht="13">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row>
    <row r="861" spans="1:33" ht="13">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row>
    <row r="862" spans="1:33" ht="13">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row>
    <row r="863" spans="1:33" ht="1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row>
    <row r="864" spans="1:33" ht="13">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row>
    <row r="865" spans="1:33" ht="13">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row>
    <row r="866" spans="1:33" ht="13">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row>
    <row r="867" spans="1:33" ht="13">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row>
    <row r="868" spans="1:33" ht="13">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row>
    <row r="869" spans="1:33" ht="13">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row>
    <row r="870" spans="1:33" ht="13">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row>
    <row r="871" spans="1:33" ht="13">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row>
    <row r="872" spans="1:33" ht="13">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row>
    <row r="873" spans="1:33" ht="1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row>
    <row r="874" spans="1:33" ht="13">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row>
    <row r="875" spans="1:33" ht="13">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row>
    <row r="876" spans="1:33" ht="13">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row>
    <row r="877" spans="1:33" ht="13">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row>
    <row r="878" spans="1:33" ht="13">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row>
    <row r="879" spans="1:33" ht="13">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row>
    <row r="880" spans="1:33" ht="13">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row>
    <row r="881" spans="1:33" ht="13">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row>
    <row r="882" spans="1:33" ht="13">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row>
    <row r="883" spans="1:33" ht="1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row>
    <row r="884" spans="1:33" ht="13">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row>
    <row r="885" spans="1:33" ht="13">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row>
    <row r="886" spans="1:33" ht="13">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row>
    <row r="887" spans="1:33" ht="13">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row>
    <row r="888" spans="1:33" ht="13">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row>
    <row r="889" spans="1:33" ht="13">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row>
    <row r="890" spans="1:33" ht="13">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row>
    <row r="891" spans="1:33" ht="13">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row>
    <row r="892" spans="1:33" ht="13">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row>
    <row r="893" spans="1:33" ht="1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row>
    <row r="894" spans="1:33" ht="13">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row>
    <row r="895" spans="1:33" ht="13">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row>
    <row r="896" spans="1:33" ht="13">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row>
    <row r="897" spans="1:33" ht="13">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row>
    <row r="898" spans="1:33" ht="13">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row>
    <row r="899" spans="1:33" ht="13">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row>
    <row r="900" spans="1:33" ht="13">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row>
    <row r="901" spans="1:33" ht="13">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row>
    <row r="902" spans="1:33" ht="13">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row>
    <row r="903" spans="1:33" ht="1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row>
    <row r="904" spans="1:33" ht="13">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row>
    <row r="905" spans="1:33" ht="13">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row>
    <row r="906" spans="1:33" ht="13">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row>
    <row r="907" spans="1:33" ht="13">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row>
    <row r="908" spans="1:33" ht="13">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row>
    <row r="909" spans="1:33" ht="13">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row>
    <row r="910" spans="1:33" ht="13">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row>
    <row r="911" spans="1:33" ht="13">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row>
    <row r="912" spans="1:33" ht="13">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row>
    <row r="913" spans="1:33" ht="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row>
    <row r="914" spans="1:33" ht="13">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row>
    <row r="915" spans="1:33" ht="13">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row>
    <row r="916" spans="1:33" ht="13">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row>
    <row r="917" spans="1:33" ht="13">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row>
    <row r="918" spans="1:33" ht="13">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row>
    <row r="919" spans="1:33" ht="13">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row>
    <row r="920" spans="1:33" ht="13">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row>
    <row r="921" spans="1:33" ht="13">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row>
    <row r="922" spans="1:33" ht="13">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row>
    <row r="923" spans="1:33" ht="1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row>
    <row r="924" spans="1:33" ht="13">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row>
    <row r="925" spans="1:33" ht="13">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row>
    <row r="926" spans="1:33" ht="13">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row>
    <row r="927" spans="1:33" ht="13">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row>
    <row r="928" spans="1:33" ht="13">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row>
    <row r="929" spans="1:33" ht="13">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row>
    <row r="930" spans="1:33" ht="13">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row>
    <row r="931" spans="1:33" ht="13">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row>
    <row r="932" spans="1:33" ht="13">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row>
    <row r="933" spans="1:33" ht="1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row>
    <row r="934" spans="1:33" ht="13">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row>
    <row r="935" spans="1:33" ht="13">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row>
    <row r="936" spans="1:33" ht="13">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row>
    <row r="937" spans="1:33" ht="13">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row>
    <row r="938" spans="1:33" ht="13">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row>
    <row r="939" spans="1:33" ht="13">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row>
    <row r="940" spans="1:33" ht="13">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row>
    <row r="941" spans="1:33" ht="13">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row>
    <row r="942" spans="1:33" ht="13">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row>
    <row r="943" spans="1:33" ht="1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row>
    <row r="944" spans="1:33" ht="13">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row>
    <row r="945" spans="1:33" ht="13">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row>
    <row r="946" spans="1:33" ht="13">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row>
    <row r="947" spans="1:33" ht="13">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row>
    <row r="948" spans="1:33" ht="13">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row>
    <row r="949" spans="1:33" ht="13">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row>
    <row r="950" spans="1:33" ht="13">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row>
    <row r="951" spans="1:33" ht="13">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row>
    <row r="952" spans="1:33" ht="13">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row>
    <row r="953" spans="1:33" ht="1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row>
    <row r="954" spans="1:33" ht="13">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row>
    <row r="955" spans="1:33" ht="13">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row>
    <row r="956" spans="1:33" ht="13">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row>
    <row r="957" spans="1:33" ht="13">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row>
    <row r="958" spans="1:33" ht="13">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row>
    <row r="959" spans="1:33" ht="13">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row>
    <row r="960" spans="1:33" ht="13">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row>
    <row r="961" spans="1:33" ht="13">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row>
    <row r="962" spans="1:33" ht="13">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row>
    <row r="963" spans="1:33" ht="1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row>
    <row r="964" spans="1:33" ht="13">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row>
    <row r="965" spans="1:33" ht="13">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row>
    <row r="966" spans="1:33" ht="13">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row>
    <row r="967" spans="1:33" ht="13">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row>
    <row r="968" spans="1:33" ht="13">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row>
    <row r="969" spans="1:33" ht="13">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row>
    <row r="970" spans="1:33" ht="13">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row>
    <row r="971" spans="1:33" ht="13">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row>
    <row r="972" spans="1:33" ht="13">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row>
    <row r="973" spans="1:33" ht="1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row>
    <row r="974" spans="1:33" ht="13">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row>
    <row r="975" spans="1:33" ht="13">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row>
    <row r="976" spans="1:33" ht="13">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row>
    <row r="977" spans="1:33" ht="13">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row>
    <row r="978" spans="1:33" ht="13">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row>
    <row r="979" spans="1:33" ht="13">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row>
    <row r="980" spans="1:33" ht="13">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row>
    <row r="981" spans="1:33" ht="13">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row>
    <row r="982" spans="1:33" ht="13">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row>
    <row r="983" spans="1:33" ht="1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row>
    <row r="984" spans="1:33" ht="13">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row>
    <row r="985" spans="1:33" ht="13">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row>
    <row r="986" spans="1:33" ht="13">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row>
    <row r="987" spans="1:33" ht="13">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row>
    <row r="988" spans="1:33" ht="13">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row>
    <row r="989" spans="1:33" ht="13">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row>
    <row r="990" spans="1:33" ht="13">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row>
    <row r="991" spans="1:33" ht="13">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row>
    <row r="992" spans="1:33" ht="13">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row>
    <row r="993" spans="1:33" ht="1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row>
    <row r="994" spans="1:33" ht="13">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row>
    <row r="995" spans="1:33" ht="13">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row>
    <row r="996" spans="1:33" ht="13">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row>
    <row r="997" spans="1:33" ht="13">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row>
    <row r="998" spans="1:33" ht="13">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row>
    <row r="999" spans="1:33" ht="13">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row>
    <row r="1000" spans="1:33" ht="13">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row>
    <row r="1001" spans="1:33" ht="13">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row>
    <row r="1002" spans="1:33" ht="13">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c r="AE1002" s="18"/>
      <c r="AF1002" s="18"/>
      <c r="AG1002" s="18"/>
    </row>
    <row r="1003" spans="1:33" ht="1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c r="AF1003" s="18"/>
      <c r="AG1003" s="18"/>
    </row>
    <row r="1004" spans="1:33" ht="13">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c r="AE1004" s="18"/>
      <c r="AF1004" s="18"/>
      <c r="AG1004" s="18"/>
    </row>
    <row r="1005" spans="1:33" ht="13">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c r="AE1005" s="18"/>
      <c r="AF1005" s="18"/>
      <c r="AG1005" s="18"/>
    </row>
    <row r="1006" spans="1:33" ht="13">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c r="AE1006" s="18"/>
      <c r="AF1006" s="18"/>
      <c r="AG1006" s="18"/>
    </row>
    <row r="1007" spans="1:33" ht="13">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8"/>
      <c r="AE1007" s="18"/>
      <c r="AF1007" s="18"/>
      <c r="AG1007" s="18"/>
    </row>
    <row r="1008" spans="1:33" ht="13">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c r="AD1008" s="18"/>
      <c r="AE1008" s="18"/>
      <c r="AF1008" s="18"/>
      <c r="AG1008" s="18"/>
    </row>
    <row r="1009" spans="1:33" ht="13">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c r="AD1009" s="18"/>
      <c r="AE1009" s="18"/>
      <c r="AF1009" s="18"/>
      <c r="AG1009" s="18"/>
    </row>
    <row r="1010" spans="1:33" ht="13">
      <c r="A1010" s="18"/>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c r="AC1010" s="18"/>
      <c r="AD1010" s="18"/>
      <c r="AE1010" s="18"/>
      <c r="AF1010" s="18"/>
      <c r="AG1010" s="18"/>
    </row>
    <row r="1011" spans="1:33" ht="13">
      <c r="A1011" s="18"/>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c r="AC1011" s="18"/>
      <c r="AD1011" s="18"/>
      <c r="AE1011" s="18"/>
      <c r="AF1011" s="18"/>
      <c r="AG1011" s="18"/>
    </row>
    <row r="1012" spans="1:33" ht="13">
      <c r="A1012" s="18"/>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c r="AC1012" s="18"/>
      <c r="AD1012" s="18"/>
      <c r="AE1012" s="18"/>
      <c r="AF1012" s="18"/>
      <c r="AG1012" s="18"/>
    </row>
    <row r="1013" spans="1:33" ht="13">
      <c r="A1013" s="18"/>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c r="AC1013" s="18"/>
      <c r="AD1013" s="18"/>
      <c r="AE1013" s="18"/>
      <c r="AF1013" s="18"/>
      <c r="AG1013" s="18"/>
    </row>
    <row r="1014" spans="1:33" ht="13">
      <c r="A1014" s="18"/>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c r="AC1014" s="18"/>
      <c r="AD1014" s="18"/>
      <c r="AE1014" s="18"/>
      <c r="AF1014" s="18"/>
      <c r="AG1014" s="18"/>
    </row>
    <row r="1015" spans="1:33" ht="13">
      <c r="A1015" s="18"/>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c r="AC1015" s="18"/>
      <c r="AD1015" s="18"/>
      <c r="AE1015" s="18"/>
      <c r="AF1015" s="18"/>
      <c r="AG1015" s="18"/>
    </row>
    <row r="1016" spans="1:33" ht="13">
      <c r="A1016" s="18"/>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c r="AC1016" s="18"/>
      <c r="AD1016" s="18"/>
      <c r="AE1016" s="18"/>
      <c r="AF1016" s="18"/>
      <c r="AG1016" s="18"/>
    </row>
    <row r="1017" spans="1:33" ht="13">
      <c r="A1017" s="18"/>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c r="AC1017" s="18"/>
      <c r="AD1017" s="18"/>
      <c r="AE1017" s="18"/>
      <c r="AF1017" s="18"/>
      <c r="AG1017" s="18"/>
    </row>
    <row r="1018" spans="1:33" ht="13">
      <c r="A1018" s="18"/>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c r="AC1018" s="18"/>
      <c r="AD1018" s="18"/>
      <c r="AE1018" s="18"/>
      <c r="AF1018" s="18"/>
      <c r="AG1018" s="18"/>
    </row>
    <row r="1019" spans="1:33" ht="13">
      <c r="A1019" s="18"/>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c r="AC1019" s="18"/>
      <c r="AD1019" s="18"/>
      <c r="AE1019" s="18"/>
      <c r="AF1019" s="18"/>
      <c r="AG1019" s="18"/>
    </row>
    <row r="1020" spans="1:33" ht="13">
      <c r="A1020" s="18"/>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c r="AC1020" s="18"/>
      <c r="AD1020" s="18"/>
      <c r="AE1020" s="18"/>
      <c r="AF1020" s="18"/>
      <c r="AG1020" s="18"/>
    </row>
    <row r="1021" spans="1:33" ht="13">
      <c r="A1021" s="18"/>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c r="AB1021" s="18"/>
      <c r="AC1021" s="18"/>
      <c r="AD1021" s="18"/>
      <c r="AE1021" s="18"/>
      <c r="AF1021" s="18"/>
      <c r="AG1021" s="18"/>
    </row>
    <row r="1022" spans="1:33" ht="13">
      <c r="A1022" s="18"/>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c r="AC1022" s="18"/>
      <c r="AD1022" s="18"/>
      <c r="AE1022" s="18"/>
      <c r="AF1022" s="18"/>
      <c r="AG1022" s="18"/>
    </row>
  </sheetData>
  <mergeCells count="3">
    <mergeCell ref="A66:B66"/>
    <mergeCell ref="A67:B67"/>
    <mergeCell ref="A68:B6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G1032"/>
  <sheetViews>
    <sheetView tabSelected="1" topLeftCell="A27" workbookViewId="0">
      <selection activeCell="C65" sqref="C65"/>
    </sheetView>
  </sheetViews>
  <sheetFormatPr baseColWidth="10" defaultColWidth="12.6640625" defaultRowHeight="15.75" customHeight="1"/>
  <cols>
    <col min="1" max="1" width="33.1640625" customWidth="1"/>
    <col min="2" max="2" width="46.1640625" customWidth="1"/>
    <col min="3" max="3" width="21.1640625" customWidth="1"/>
    <col min="5" max="5" width="13.6640625" customWidth="1"/>
    <col min="6" max="6" width="143" customWidth="1"/>
    <col min="7" max="7" width="47.6640625" customWidth="1"/>
    <col min="8" max="8" width="28" customWidth="1"/>
    <col min="10" max="10" width="70.1640625" customWidth="1"/>
    <col min="11" max="11" width="40" customWidth="1"/>
  </cols>
  <sheetData>
    <row r="1" spans="1:33" ht="13">
      <c r="A1" s="36" t="s">
        <v>75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row>
    <row r="2" spans="1:33" ht="13">
      <c r="A2" s="37" t="s">
        <v>76</v>
      </c>
      <c r="B2" s="37" t="s">
        <v>177</v>
      </c>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row>
    <row r="3" spans="1:33" ht="13">
      <c r="A3" s="24" t="s">
        <v>77</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row>
    <row r="4" spans="1:33" ht="13">
      <c r="A4" s="24" t="s">
        <v>78</v>
      </c>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row>
    <row r="5" spans="1:33" ht="13">
      <c r="A5" s="24" t="s">
        <v>79</v>
      </c>
      <c r="B5" s="24" t="s">
        <v>178</v>
      </c>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row>
    <row r="6" spans="1:33" ht="13">
      <c r="A6" s="20"/>
      <c r="B6" s="20" t="s">
        <v>179</v>
      </c>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row>
    <row r="7" spans="1:33" ht="13">
      <c r="A7" s="20"/>
      <c r="B7" s="20" t="s">
        <v>180</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row>
    <row r="8" spans="1:33" ht="13">
      <c r="A8" s="37" t="s">
        <v>3</v>
      </c>
      <c r="B8" s="37" t="s">
        <v>80</v>
      </c>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row>
    <row r="9" spans="1:33" ht="13">
      <c r="A9" s="20" t="s">
        <v>181</v>
      </c>
      <c r="B9" s="20" t="s">
        <v>182</v>
      </c>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row>
    <row r="10" spans="1:33" ht="13">
      <c r="A10" s="5" t="s">
        <v>183</v>
      </c>
      <c r="B10" s="20" t="s">
        <v>184</v>
      </c>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row>
    <row r="11" spans="1:33" ht="16">
      <c r="A11" s="54" t="s">
        <v>27</v>
      </c>
      <c r="B11" s="20" t="s">
        <v>185</v>
      </c>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row>
    <row r="12" spans="1:33" ht="16">
      <c r="A12" s="54" t="s">
        <v>186</v>
      </c>
      <c r="B12" s="20" t="s">
        <v>187</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row>
    <row r="13" spans="1:33" ht="13">
      <c r="A13" s="20" t="s">
        <v>188</v>
      </c>
      <c r="B13" s="20" t="s">
        <v>189</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row>
    <row r="14" spans="1:33" ht="1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row>
    <row r="15" spans="1:33" ht="1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row>
    <row r="16" spans="1:33" ht="1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row>
    <row r="17" spans="1:33" ht="1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row>
    <row r="18" spans="1:33" ht="13">
      <c r="A18" s="38" t="s">
        <v>81</v>
      </c>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3">
      <c r="A19" s="39" t="s">
        <v>6</v>
      </c>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row>
    <row r="20" spans="1:33" ht="13">
      <c r="A20" s="40" t="s">
        <v>7</v>
      </c>
      <c r="B20" s="40" t="s">
        <v>8</v>
      </c>
      <c r="C20" s="40" t="s">
        <v>9</v>
      </c>
      <c r="D20" s="40" t="s">
        <v>21</v>
      </c>
      <c r="E20" s="40" t="s">
        <v>10</v>
      </c>
      <c r="F20" s="40" t="s">
        <v>11</v>
      </c>
      <c r="G20" s="40" t="s">
        <v>12</v>
      </c>
      <c r="H20" s="40" t="s">
        <v>13</v>
      </c>
      <c r="I20" s="40" t="s">
        <v>82</v>
      </c>
      <c r="J20" s="40" t="s">
        <v>83</v>
      </c>
      <c r="K20" s="40"/>
      <c r="L20" s="40"/>
      <c r="M20" s="40"/>
      <c r="N20" s="40"/>
      <c r="O20" s="40"/>
      <c r="P20" s="40"/>
      <c r="Q20" s="40"/>
      <c r="R20" s="40"/>
      <c r="S20" s="40"/>
      <c r="T20" s="40"/>
      <c r="U20" s="40"/>
      <c r="V20" s="40"/>
      <c r="W20" s="40"/>
      <c r="X20" s="40"/>
      <c r="Y20" s="40"/>
      <c r="Z20" s="40"/>
      <c r="AA20" s="40"/>
      <c r="AB20" s="40"/>
      <c r="AC20" s="40"/>
      <c r="AD20" s="40"/>
      <c r="AE20" s="40"/>
      <c r="AF20" s="40"/>
      <c r="AG20" s="40"/>
    </row>
    <row r="21" spans="1:33" ht="13">
      <c r="A21" s="63" t="s">
        <v>190</v>
      </c>
      <c r="B21" s="64" t="s">
        <v>191</v>
      </c>
      <c r="C21" s="64" t="s">
        <v>192</v>
      </c>
      <c r="D21" s="64" t="s">
        <v>22</v>
      </c>
      <c r="E21" s="64" t="s">
        <v>15</v>
      </c>
      <c r="F21" s="64" t="s">
        <v>193</v>
      </c>
      <c r="G21" s="25">
        <v>10000</v>
      </c>
      <c r="H21" s="18" t="s">
        <v>194</v>
      </c>
      <c r="I21" s="18">
        <v>100</v>
      </c>
      <c r="J21" s="18" t="s">
        <v>195</v>
      </c>
      <c r="K21" s="18"/>
      <c r="L21" s="18"/>
      <c r="M21" s="18"/>
      <c r="N21" s="18"/>
      <c r="O21" s="18"/>
      <c r="P21" s="18"/>
      <c r="Q21" s="18"/>
      <c r="R21" s="18"/>
      <c r="S21" s="18"/>
      <c r="T21" s="18"/>
      <c r="U21" s="18"/>
      <c r="V21" s="18"/>
      <c r="W21" s="18"/>
      <c r="X21" s="18"/>
      <c r="Y21" s="18"/>
      <c r="Z21" s="18"/>
      <c r="AA21" s="18"/>
      <c r="AB21" s="18"/>
      <c r="AC21" s="18"/>
      <c r="AD21" s="18"/>
      <c r="AE21" s="18"/>
      <c r="AF21" s="18"/>
      <c r="AG21" s="18"/>
    </row>
    <row r="22" spans="1:33" ht="13">
      <c r="A22" s="63" t="s">
        <v>190</v>
      </c>
      <c r="B22" s="64" t="s">
        <v>196</v>
      </c>
      <c r="C22" s="64" t="s">
        <v>197</v>
      </c>
      <c r="D22" s="64" t="s">
        <v>22</v>
      </c>
      <c r="E22" s="64" t="s">
        <v>15</v>
      </c>
      <c r="F22" s="64" t="s">
        <v>198</v>
      </c>
      <c r="G22" s="25">
        <v>5000</v>
      </c>
      <c r="H22" s="18" t="s">
        <v>194</v>
      </c>
      <c r="I22" s="18">
        <v>100</v>
      </c>
      <c r="J22" s="18" t="s">
        <v>199</v>
      </c>
      <c r="K22" s="18"/>
      <c r="L22" s="18"/>
      <c r="M22" s="18"/>
      <c r="N22" s="18"/>
      <c r="O22" s="18"/>
      <c r="P22" s="18"/>
      <c r="Q22" s="18"/>
      <c r="R22" s="18"/>
      <c r="S22" s="18"/>
      <c r="T22" s="18"/>
      <c r="U22" s="18"/>
      <c r="V22" s="18"/>
      <c r="W22" s="18"/>
      <c r="X22" s="18"/>
      <c r="Y22" s="18"/>
      <c r="Z22" s="18"/>
      <c r="AA22" s="18"/>
      <c r="AB22" s="18"/>
      <c r="AC22" s="18"/>
      <c r="AD22" s="18"/>
      <c r="AE22" s="18"/>
      <c r="AF22" s="18"/>
      <c r="AG22" s="18"/>
    </row>
    <row r="23" spans="1:33" ht="13">
      <c r="A23" s="63" t="s">
        <v>190</v>
      </c>
      <c r="B23" s="64" t="s">
        <v>200</v>
      </c>
      <c r="C23" s="64" t="s">
        <v>201</v>
      </c>
      <c r="D23" s="64" t="s">
        <v>22</v>
      </c>
      <c r="E23" s="64" t="s">
        <v>14</v>
      </c>
      <c r="F23" s="64" t="s">
        <v>202</v>
      </c>
      <c r="G23" s="25">
        <v>5000</v>
      </c>
      <c r="H23" s="18" t="s">
        <v>194</v>
      </c>
      <c r="I23" s="18">
        <v>100</v>
      </c>
      <c r="J23" s="18" t="s">
        <v>203</v>
      </c>
      <c r="K23" s="18"/>
      <c r="L23" s="18"/>
      <c r="M23" s="18"/>
      <c r="N23" s="18"/>
      <c r="O23" s="18"/>
      <c r="P23" s="18"/>
      <c r="Q23" s="18"/>
      <c r="R23" s="18"/>
      <c r="S23" s="18"/>
      <c r="T23" s="18"/>
      <c r="U23" s="18"/>
      <c r="V23" s="18"/>
      <c r="W23" s="18"/>
      <c r="X23" s="18"/>
      <c r="Y23" s="18"/>
      <c r="Z23" s="18"/>
      <c r="AA23" s="18"/>
      <c r="AB23" s="18"/>
      <c r="AC23" s="18"/>
      <c r="AD23" s="18"/>
      <c r="AE23" s="18"/>
      <c r="AF23" s="18"/>
      <c r="AG23" s="18"/>
    </row>
    <row r="24" spans="1:33" ht="13">
      <c r="A24" s="63" t="s">
        <v>204</v>
      </c>
      <c r="B24" s="64" t="s">
        <v>55</v>
      </c>
      <c r="C24" s="64" t="s">
        <v>205</v>
      </c>
      <c r="D24" s="64" t="s">
        <v>22</v>
      </c>
      <c r="E24" s="64" t="s">
        <v>15</v>
      </c>
      <c r="F24" s="64" t="s">
        <v>206</v>
      </c>
      <c r="G24" s="25" t="s">
        <v>207</v>
      </c>
      <c r="H24" s="18" t="s">
        <v>208</v>
      </c>
      <c r="I24" s="18">
        <v>100</v>
      </c>
      <c r="J24" s="18" t="s">
        <v>209</v>
      </c>
      <c r="K24" s="18"/>
      <c r="L24" s="18"/>
      <c r="M24" s="18"/>
      <c r="N24" s="18"/>
      <c r="O24" s="18"/>
      <c r="P24" s="18"/>
      <c r="Q24" s="18"/>
      <c r="R24" s="18"/>
      <c r="S24" s="18"/>
      <c r="T24" s="18"/>
      <c r="U24" s="18"/>
      <c r="V24" s="18"/>
      <c r="W24" s="18"/>
      <c r="X24" s="18"/>
      <c r="Y24" s="18"/>
      <c r="Z24" s="18"/>
      <c r="AA24" s="18"/>
      <c r="AB24" s="18"/>
      <c r="AC24" s="18"/>
      <c r="AD24" s="18"/>
      <c r="AE24" s="18"/>
      <c r="AF24" s="18"/>
      <c r="AG24" s="18"/>
    </row>
    <row r="25" spans="1:33" ht="13">
      <c r="A25" s="63" t="s">
        <v>204</v>
      </c>
      <c r="B25" s="64" t="s">
        <v>210</v>
      </c>
      <c r="C25" s="64" t="s">
        <v>211</v>
      </c>
      <c r="D25" s="64" t="s">
        <v>22</v>
      </c>
      <c r="E25" s="64" t="s">
        <v>15</v>
      </c>
      <c r="F25" s="64" t="s">
        <v>212</v>
      </c>
      <c r="G25" s="25">
        <v>300</v>
      </c>
      <c r="H25" s="18" t="s">
        <v>208</v>
      </c>
      <c r="I25" s="18">
        <v>100</v>
      </c>
      <c r="J25" s="18" t="s">
        <v>213</v>
      </c>
      <c r="K25" s="18"/>
      <c r="L25" s="18"/>
      <c r="M25" s="18"/>
      <c r="N25" s="18"/>
      <c r="O25" s="18"/>
      <c r="P25" s="18"/>
      <c r="Q25" s="18"/>
      <c r="R25" s="18"/>
      <c r="S25" s="18"/>
      <c r="T25" s="18"/>
      <c r="U25" s="18"/>
      <c r="V25" s="18"/>
      <c r="W25" s="18"/>
      <c r="X25" s="18"/>
      <c r="Y25" s="18"/>
      <c r="Z25" s="18"/>
      <c r="AA25" s="18"/>
      <c r="AB25" s="18"/>
      <c r="AC25" s="18"/>
      <c r="AD25" s="18"/>
      <c r="AE25" s="18"/>
      <c r="AF25" s="18"/>
      <c r="AG25" s="18"/>
    </row>
    <row r="26" spans="1:33" ht="13">
      <c r="A26" s="63" t="s">
        <v>27</v>
      </c>
      <c r="B26" s="64" t="s">
        <v>214</v>
      </c>
      <c r="C26" s="64" t="s">
        <v>215</v>
      </c>
      <c r="D26" s="64" t="s">
        <v>25</v>
      </c>
      <c r="E26" s="64" t="s">
        <v>15</v>
      </c>
      <c r="F26" s="64" t="s">
        <v>216</v>
      </c>
      <c r="G26" s="25">
        <v>1</v>
      </c>
      <c r="H26" s="18" t="s">
        <v>217</v>
      </c>
      <c r="I26" s="18">
        <v>100</v>
      </c>
      <c r="J26" s="18" t="s">
        <v>218</v>
      </c>
      <c r="K26" s="18"/>
      <c r="L26" s="18"/>
      <c r="M26" s="18"/>
      <c r="N26" s="18"/>
      <c r="O26" s="18"/>
      <c r="P26" s="18"/>
      <c r="Q26" s="18"/>
      <c r="R26" s="18"/>
      <c r="S26" s="18"/>
      <c r="T26" s="18"/>
      <c r="U26" s="18"/>
      <c r="V26" s="18"/>
      <c r="W26" s="18"/>
      <c r="X26" s="18"/>
      <c r="Y26" s="18"/>
      <c r="Z26" s="18"/>
      <c r="AA26" s="18"/>
      <c r="AB26" s="18"/>
      <c r="AC26" s="18"/>
      <c r="AD26" s="18"/>
      <c r="AE26" s="18"/>
      <c r="AF26" s="18"/>
      <c r="AG26" s="18"/>
    </row>
    <row r="27" spans="1:33" ht="16">
      <c r="A27" s="63" t="s">
        <v>27</v>
      </c>
      <c r="B27" s="64" t="s">
        <v>219</v>
      </c>
      <c r="C27" s="64" t="s">
        <v>220</v>
      </c>
      <c r="D27" s="64" t="s">
        <v>22</v>
      </c>
      <c r="E27" s="64" t="s">
        <v>14</v>
      </c>
      <c r="F27" s="64" t="s">
        <v>221</v>
      </c>
      <c r="G27" s="25">
        <v>5</v>
      </c>
      <c r="H27" s="18" t="s">
        <v>217</v>
      </c>
      <c r="I27" s="18">
        <v>100</v>
      </c>
      <c r="J27" s="56" t="s">
        <v>222</v>
      </c>
      <c r="K27" s="18"/>
      <c r="L27" s="18"/>
      <c r="M27" s="18"/>
      <c r="N27" s="18"/>
      <c r="O27" s="18"/>
      <c r="P27" s="18"/>
      <c r="Q27" s="18"/>
      <c r="R27" s="18"/>
      <c r="S27" s="18"/>
      <c r="T27" s="18"/>
      <c r="U27" s="18"/>
      <c r="V27" s="18"/>
      <c r="W27" s="18"/>
      <c r="X27" s="18"/>
      <c r="Y27" s="18"/>
      <c r="Z27" s="18"/>
      <c r="AA27" s="18"/>
      <c r="AB27" s="18"/>
      <c r="AC27" s="18"/>
      <c r="AD27" s="18"/>
      <c r="AE27" s="18"/>
      <c r="AF27" s="18"/>
      <c r="AG27" s="18"/>
    </row>
    <row r="28" spans="1:33" ht="16">
      <c r="A28" s="63" t="s">
        <v>186</v>
      </c>
      <c r="B28" s="64" t="s">
        <v>223</v>
      </c>
      <c r="C28" s="64" t="s">
        <v>224</v>
      </c>
      <c r="D28" s="64" t="s">
        <v>22</v>
      </c>
      <c r="E28" s="64" t="s">
        <v>15</v>
      </c>
      <c r="F28" s="64" t="s">
        <v>225</v>
      </c>
      <c r="G28" s="25">
        <v>8000</v>
      </c>
      <c r="H28" s="18" t="s">
        <v>175</v>
      </c>
      <c r="I28" s="18">
        <v>100</v>
      </c>
      <c r="J28" s="56" t="s">
        <v>226</v>
      </c>
      <c r="K28" s="18"/>
      <c r="L28" s="18"/>
      <c r="M28" s="18"/>
      <c r="N28" s="18"/>
      <c r="O28" s="18"/>
      <c r="P28" s="18"/>
      <c r="Q28" s="18"/>
      <c r="R28" s="18"/>
      <c r="S28" s="18"/>
      <c r="T28" s="18"/>
      <c r="U28" s="18"/>
      <c r="V28" s="18"/>
      <c r="W28" s="18"/>
      <c r="X28" s="18"/>
      <c r="Y28" s="18"/>
      <c r="Z28" s="18"/>
      <c r="AA28" s="18"/>
      <c r="AB28" s="18"/>
      <c r="AC28" s="18"/>
      <c r="AD28" s="18"/>
      <c r="AE28" s="18"/>
      <c r="AF28" s="18"/>
      <c r="AG28" s="18"/>
    </row>
    <row r="29" spans="1:33" ht="18">
      <c r="A29" s="63" t="s">
        <v>186</v>
      </c>
      <c r="B29" s="64" t="s">
        <v>227</v>
      </c>
      <c r="C29" s="64" t="s">
        <v>228</v>
      </c>
      <c r="D29" s="64" t="s">
        <v>23</v>
      </c>
      <c r="E29" s="64" t="s">
        <v>14</v>
      </c>
      <c r="F29" s="64" t="s">
        <v>229</v>
      </c>
      <c r="G29" s="57">
        <v>3.5000000000000003E-2</v>
      </c>
      <c r="H29" s="58" t="s">
        <v>230</v>
      </c>
      <c r="I29" s="26">
        <v>100</v>
      </c>
      <c r="J29" s="54" t="s">
        <v>231</v>
      </c>
      <c r="K29" s="26"/>
      <c r="L29" s="26"/>
      <c r="M29" s="26"/>
      <c r="N29" s="26"/>
      <c r="O29" s="26"/>
      <c r="P29" s="26"/>
      <c r="Q29" s="26"/>
      <c r="R29" s="26"/>
      <c r="S29" s="26"/>
      <c r="T29" s="26"/>
      <c r="U29" s="26"/>
      <c r="V29" s="26"/>
      <c r="W29" s="26"/>
      <c r="X29" s="26"/>
      <c r="Y29" s="26"/>
      <c r="Z29" s="26"/>
      <c r="AA29" s="26"/>
      <c r="AB29" s="26"/>
      <c r="AC29" s="26"/>
      <c r="AD29" s="26"/>
      <c r="AE29" s="26"/>
      <c r="AF29" s="26"/>
      <c r="AG29" s="26"/>
    </row>
    <row r="30" spans="1:33" ht="16">
      <c r="A30" s="63" t="s">
        <v>188</v>
      </c>
      <c r="B30" s="64" t="s">
        <v>232</v>
      </c>
      <c r="C30" s="64" t="s">
        <v>233</v>
      </c>
      <c r="D30" s="64" t="s">
        <v>23</v>
      </c>
      <c r="E30" s="64" t="s">
        <v>15</v>
      </c>
      <c r="F30" s="64" t="s">
        <v>234</v>
      </c>
      <c r="G30" s="57">
        <v>1.1499999999999999</v>
      </c>
      <c r="H30" s="20" t="s">
        <v>235</v>
      </c>
      <c r="I30" s="20">
        <v>100</v>
      </c>
      <c r="J30" s="54" t="s">
        <v>236</v>
      </c>
      <c r="K30" s="20"/>
      <c r="L30" s="20"/>
      <c r="M30" s="20"/>
      <c r="N30" s="20"/>
      <c r="O30" s="20"/>
      <c r="P30" s="20"/>
      <c r="Q30" s="20"/>
      <c r="R30" s="20"/>
      <c r="S30" s="20"/>
      <c r="T30" s="20"/>
      <c r="U30" s="20"/>
      <c r="V30" s="20"/>
      <c r="W30" s="20"/>
      <c r="X30" s="20"/>
      <c r="Y30" s="20"/>
      <c r="Z30" s="20"/>
      <c r="AA30" s="20"/>
      <c r="AB30" s="20"/>
      <c r="AC30" s="20"/>
      <c r="AD30" s="20"/>
      <c r="AE30" s="20"/>
      <c r="AF30" s="20"/>
      <c r="AG30" s="20"/>
    </row>
    <row r="31" spans="1:33" ht="16">
      <c r="A31" s="63" t="s">
        <v>188</v>
      </c>
      <c r="B31" s="64" t="s">
        <v>237</v>
      </c>
      <c r="C31" s="64" t="s">
        <v>238</v>
      </c>
      <c r="D31" s="64" t="s">
        <v>23</v>
      </c>
      <c r="E31" s="64" t="s">
        <v>14</v>
      </c>
      <c r="F31" s="64" t="s">
        <v>239</v>
      </c>
      <c r="G31" s="65">
        <v>6.4000000000000001E-2</v>
      </c>
      <c r="H31" s="20" t="s">
        <v>230</v>
      </c>
      <c r="I31" s="20">
        <v>100</v>
      </c>
      <c r="J31" s="54" t="s">
        <v>240</v>
      </c>
      <c r="K31" s="20"/>
      <c r="L31" s="20"/>
      <c r="M31" s="20"/>
      <c r="N31" s="20"/>
      <c r="O31" s="20"/>
      <c r="P31" s="20"/>
      <c r="Q31" s="20"/>
      <c r="R31" s="20"/>
      <c r="S31" s="20"/>
      <c r="T31" s="20"/>
      <c r="U31" s="20"/>
      <c r="V31" s="20"/>
      <c r="W31" s="20"/>
      <c r="X31" s="20"/>
      <c r="Y31" s="20"/>
      <c r="Z31" s="20"/>
      <c r="AA31" s="20"/>
      <c r="AB31" s="20"/>
      <c r="AC31" s="20"/>
      <c r="AD31" s="20"/>
      <c r="AE31" s="20"/>
      <c r="AF31" s="20"/>
      <c r="AG31" s="20"/>
    </row>
    <row r="32" spans="1:33" ht="16">
      <c r="A32" s="63" t="s">
        <v>188</v>
      </c>
      <c r="B32" s="64" t="s">
        <v>241</v>
      </c>
      <c r="C32" s="64" t="s">
        <v>242</v>
      </c>
      <c r="D32" s="64" t="s">
        <v>243</v>
      </c>
      <c r="E32" s="64" t="s">
        <v>15</v>
      </c>
      <c r="F32" s="64" t="s">
        <v>244</v>
      </c>
      <c r="G32" s="30">
        <v>10000</v>
      </c>
      <c r="H32" s="29" t="s">
        <v>245</v>
      </c>
      <c r="I32" s="29">
        <v>1000</v>
      </c>
      <c r="J32" s="55" t="s">
        <v>246</v>
      </c>
      <c r="K32" s="29"/>
      <c r="L32" s="29"/>
      <c r="M32" s="29"/>
      <c r="N32" s="29"/>
      <c r="O32" s="29"/>
      <c r="P32" s="29"/>
      <c r="Q32" s="29"/>
      <c r="R32" s="29"/>
      <c r="S32" s="29"/>
      <c r="T32" s="29"/>
      <c r="U32" s="29"/>
      <c r="V32" s="29"/>
      <c r="W32" s="29"/>
      <c r="X32" s="29"/>
      <c r="Y32" s="29"/>
      <c r="Z32" s="29"/>
      <c r="AA32" s="29"/>
      <c r="AB32" s="29"/>
      <c r="AC32" s="29"/>
      <c r="AD32" s="29"/>
      <c r="AE32" s="29"/>
      <c r="AF32" s="29"/>
      <c r="AG32" s="29"/>
    </row>
    <row r="33" spans="1:33" ht="13">
      <c r="A33" s="20"/>
      <c r="B33" s="20"/>
      <c r="C33" s="20"/>
      <c r="D33" s="20"/>
      <c r="E33" s="20"/>
      <c r="F33" s="28"/>
      <c r="G33" s="28"/>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row>
    <row r="34" spans="1:33" ht="13.5" customHeight="1">
      <c r="A34" s="20"/>
      <c r="B34" s="20"/>
      <c r="C34" s="20"/>
      <c r="D34" s="20"/>
      <c r="E34" s="20"/>
      <c r="F34" s="28"/>
      <c r="G34" s="28"/>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row>
    <row r="35" spans="1:33" ht="13">
      <c r="A35" s="18"/>
      <c r="B35" s="18"/>
      <c r="C35" s="18"/>
      <c r="D35" s="18"/>
      <c r="E35" s="18"/>
      <c r="F35" s="18"/>
      <c r="G35" s="25"/>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row>
    <row r="36" spans="1:33" ht="1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row>
    <row r="37" spans="1:33" ht="1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row>
    <row r="38" spans="1:33" ht="1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row>
    <row r="39" spans="1:33" ht="13">
      <c r="A39" s="41" t="s">
        <v>84</v>
      </c>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row>
    <row r="40" spans="1:33" ht="13">
      <c r="A40" s="42" t="s">
        <v>85</v>
      </c>
      <c r="B40" s="42" t="s">
        <v>12</v>
      </c>
      <c r="C40" s="42" t="s">
        <v>13</v>
      </c>
      <c r="D40" s="42" t="s">
        <v>56</v>
      </c>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row>
    <row r="41" spans="1:33" ht="13">
      <c r="A41" s="31"/>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3" spans="1:33" ht="13">
      <c r="A43" s="31"/>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spans="1:33" ht="13">
      <c r="A44" s="3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spans="1:33" ht="13">
      <c r="A45" s="42" t="s">
        <v>86</v>
      </c>
      <c r="B45" s="42" t="s">
        <v>12</v>
      </c>
      <c r="C45" s="42" t="s">
        <v>13</v>
      </c>
      <c r="D45" s="42" t="s">
        <v>56</v>
      </c>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row>
    <row r="46" spans="1:33" ht="13">
      <c r="A46" s="60" t="s">
        <v>176</v>
      </c>
      <c r="B46" s="60" t="s">
        <v>12</v>
      </c>
      <c r="C46" s="60" t="s">
        <v>13</v>
      </c>
      <c r="D46" s="60" t="s">
        <v>247</v>
      </c>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row r="47" spans="1:33" ht="15">
      <c r="A47" s="4" t="s">
        <v>248</v>
      </c>
      <c r="B47" s="23">
        <v>400000</v>
      </c>
      <c r="C47" s="4" t="s">
        <v>96</v>
      </c>
      <c r="D47" s="4" t="s">
        <v>249</v>
      </c>
      <c r="E47" s="20"/>
      <c r="F47" s="20"/>
      <c r="G47" s="66" t="s">
        <v>8</v>
      </c>
      <c r="H47" s="67" t="s">
        <v>88</v>
      </c>
      <c r="I47" s="67" t="s">
        <v>250</v>
      </c>
      <c r="J47" s="67" t="s">
        <v>251</v>
      </c>
      <c r="K47" s="67" t="s">
        <v>252</v>
      </c>
      <c r="L47" s="67" t="s">
        <v>253</v>
      </c>
      <c r="M47" s="67" t="s">
        <v>254</v>
      </c>
      <c r="N47" s="67" t="s">
        <v>255</v>
      </c>
      <c r="O47" s="20"/>
      <c r="P47" s="20"/>
      <c r="Q47" s="20"/>
      <c r="R47" s="20"/>
      <c r="S47" s="20"/>
      <c r="T47" s="20"/>
      <c r="U47" s="20"/>
      <c r="V47" s="20"/>
      <c r="W47" s="20"/>
      <c r="X47" s="20"/>
      <c r="Y47" s="20"/>
      <c r="Z47" s="20"/>
      <c r="AA47" s="20"/>
      <c r="AB47" s="20"/>
      <c r="AC47" s="20"/>
      <c r="AD47" s="20"/>
      <c r="AE47" s="20"/>
      <c r="AF47" s="20"/>
      <c r="AG47" s="20"/>
    </row>
    <row r="48" spans="1:33" ht="15">
      <c r="A48" s="4" t="s">
        <v>256</v>
      </c>
      <c r="B48" s="4">
        <v>200</v>
      </c>
      <c r="C48" s="4" t="s">
        <v>257</v>
      </c>
      <c r="D48" s="4" t="s">
        <v>258</v>
      </c>
      <c r="E48" s="20"/>
      <c r="F48" s="20"/>
      <c r="G48" s="62" t="s">
        <v>191</v>
      </c>
      <c r="H48" s="62" t="s">
        <v>259</v>
      </c>
      <c r="I48" s="62" t="s">
        <v>22</v>
      </c>
      <c r="J48" s="62" t="s">
        <v>15</v>
      </c>
      <c r="K48" s="62" t="s">
        <v>260</v>
      </c>
      <c r="L48" s="62" t="s">
        <v>193</v>
      </c>
      <c r="M48" s="62" t="s">
        <v>261</v>
      </c>
      <c r="N48" s="62" t="s">
        <v>262</v>
      </c>
      <c r="O48" s="20"/>
      <c r="P48" s="20"/>
      <c r="Q48" s="20"/>
      <c r="R48" s="20"/>
      <c r="S48" s="20"/>
      <c r="T48" s="20"/>
      <c r="U48" s="20"/>
      <c r="V48" s="20"/>
      <c r="W48" s="20"/>
      <c r="X48" s="20"/>
      <c r="Y48" s="20"/>
      <c r="Z48" s="20"/>
      <c r="AA48" s="20"/>
      <c r="AB48" s="20"/>
      <c r="AC48" s="20"/>
      <c r="AD48" s="20"/>
      <c r="AE48" s="20"/>
      <c r="AF48" s="20"/>
      <c r="AG48" s="20"/>
    </row>
    <row r="49" spans="1:33" ht="15">
      <c r="A49" s="4" t="s">
        <v>263</v>
      </c>
      <c r="B49" s="4">
        <v>40</v>
      </c>
      <c r="C49" s="4" t="s">
        <v>264</v>
      </c>
      <c r="D49" s="4" t="s">
        <v>265</v>
      </c>
      <c r="E49" s="20"/>
      <c r="F49" s="20"/>
      <c r="G49" s="62" t="s">
        <v>196</v>
      </c>
      <c r="H49" s="62" t="s">
        <v>259</v>
      </c>
      <c r="I49" s="62" t="s">
        <v>22</v>
      </c>
      <c r="J49" s="62" t="s">
        <v>15</v>
      </c>
      <c r="K49" s="62" t="s">
        <v>266</v>
      </c>
      <c r="L49" s="62" t="s">
        <v>267</v>
      </c>
      <c r="M49" s="62" t="s">
        <v>261</v>
      </c>
      <c r="N49" s="62" t="s">
        <v>268</v>
      </c>
      <c r="O49" s="20"/>
      <c r="P49" s="20"/>
      <c r="Q49" s="20"/>
      <c r="R49" s="20"/>
      <c r="S49" s="20"/>
      <c r="T49" s="20"/>
      <c r="U49" s="20"/>
      <c r="V49" s="20"/>
      <c r="W49" s="20"/>
      <c r="X49" s="20"/>
      <c r="Y49" s="20"/>
      <c r="Z49" s="20"/>
      <c r="AA49" s="20"/>
      <c r="AB49" s="20"/>
      <c r="AC49" s="20"/>
      <c r="AD49" s="20"/>
      <c r="AE49" s="20"/>
      <c r="AF49" s="20"/>
      <c r="AG49" s="20"/>
    </row>
    <row r="50" spans="1:33" ht="15">
      <c r="A50" s="4" t="s">
        <v>269</v>
      </c>
      <c r="B50" s="23">
        <v>50</v>
      </c>
      <c r="C50" s="4" t="s">
        <v>270</v>
      </c>
      <c r="D50" s="4" t="s">
        <v>271</v>
      </c>
      <c r="E50" s="20"/>
      <c r="F50" s="20"/>
      <c r="G50" s="62" t="s">
        <v>272</v>
      </c>
      <c r="H50" s="62" t="s">
        <v>259</v>
      </c>
      <c r="I50" s="62" t="s">
        <v>22</v>
      </c>
      <c r="J50" s="62" t="s">
        <v>14</v>
      </c>
      <c r="K50" s="62" t="s">
        <v>273</v>
      </c>
      <c r="L50" s="62" t="s">
        <v>274</v>
      </c>
      <c r="M50" s="62" t="s">
        <v>261</v>
      </c>
      <c r="N50" s="62" t="s">
        <v>275</v>
      </c>
      <c r="O50" s="20"/>
      <c r="P50" s="20"/>
      <c r="Q50" s="20"/>
      <c r="R50" s="20"/>
      <c r="S50" s="20"/>
      <c r="T50" s="20"/>
      <c r="U50" s="20"/>
      <c r="V50" s="20"/>
      <c r="W50" s="20"/>
      <c r="X50" s="20"/>
      <c r="Y50" s="20"/>
      <c r="Z50" s="20"/>
      <c r="AA50" s="20"/>
      <c r="AB50" s="20"/>
      <c r="AC50" s="20"/>
      <c r="AD50" s="20"/>
      <c r="AE50" s="20"/>
      <c r="AF50" s="20"/>
      <c r="AG50" s="20"/>
    </row>
    <row r="51" spans="1:33" ht="15">
      <c r="A51" s="4" t="s">
        <v>276</v>
      </c>
      <c r="B51" s="59">
        <v>8000</v>
      </c>
      <c r="C51" s="4" t="s">
        <v>277</v>
      </c>
      <c r="D51" s="4" t="s">
        <v>278</v>
      </c>
      <c r="E51" s="20"/>
      <c r="F51" s="20"/>
      <c r="G51" s="62" t="s">
        <v>210</v>
      </c>
      <c r="H51" s="62" t="s">
        <v>279</v>
      </c>
      <c r="I51" s="62" t="s">
        <v>22</v>
      </c>
      <c r="J51" s="62" t="s">
        <v>15</v>
      </c>
      <c r="K51" s="62" t="s">
        <v>280</v>
      </c>
      <c r="L51" s="62" t="s">
        <v>281</v>
      </c>
      <c r="M51" s="62" t="s">
        <v>282</v>
      </c>
      <c r="N51" s="62" t="s">
        <v>283</v>
      </c>
      <c r="O51" s="20"/>
      <c r="P51" s="20"/>
      <c r="Q51" s="20"/>
      <c r="R51" s="20"/>
      <c r="S51" s="20"/>
      <c r="T51" s="20"/>
      <c r="U51" s="20"/>
      <c r="V51" s="20"/>
      <c r="W51" s="20"/>
      <c r="X51" s="20"/>
      <c r="Y51" s="20"/>
      <c r="Z51" s="20"/>
      <c r="AA51" s="20"/>
      <c r="AB51" s="20"/>
      <c r="AC51" s="20"/>
      <c r="AD51" s="20"/>
      <c r="AE51" s="20"/>
      <c r="AF51" s="20"/>
      <c r="AG51" s="20"/>
    </row>
    <row r="52" spans="1:33" ht="15">
      <c r="A52" s="4" t="s">
        <v>284</v>
      </c>
      <c r="B52" s="4">
        <v>1</v>
      </c>
      <c r="C52" s="4" t="s">
        <v>285</v>
      </c>
      <c r="D52" s="4" t="s">
        <v>286</v>
      </c>
      <c r="E52" s="20"/>
      <c r="F52" s="20"/>
      <c r="G52" s="62" t="s">
        <v>287</v>
      </c>
      <c r="H52" s="62" t="s">
        <v>279</v>
      </c>
      <c r="I52" s="62" t="s">
        <v>22</v>
      </c>
      <c r="J52" s="62" t="s">
        <v>14</v>
      </c>
      <c r="K52" s="62" t="s">
        <v>288</v>
      </c>
      <c r="L52" s="62" t="s">
        <v>289</v>
      </c>
      <c r="M52" s="62" t="s">
        <v>282</v>
      </c>
      <c r="N52" s="62" t="s">
        <v>290</v>
      </c>
      <c r="O52" s="20"/>
      <c r="P52" s="20"/>
      <c r="Q52" s="20"/>
      <c r="R52" s="20"/>
      <c r="S52" s="20"/>
      <c r="T52" s="20"/>
      <c r="U52" s="20"/>
      <c r="V52" s="20"/>
      <c r="W52" s="20"/>
      <c r="X52" s="20"/>
      <c r="Y52" s="20"/>
      <c r="Z52" s="20"/>
      <c r="AA52" s="20"/>
      <c r="AB52" s="20"/>
      <c r="AC52" s="20"/>
      <c r="AD52" s="20"/>
      <c r="AE52" s="20"/>
      <c r="AF52" s="20"/>
      <c r="AG52" s="20"/>
    </row>
    <row r="53" spans="1:33" ht="15">
      <c r="A53" s="4" t="s">
        <v>291</v>
      </c>
      <c r="B53" s="61">
        <v>0.23599999999999999</v>
      </c>
      <c r="C53" s="4" t="s">
        <v>94</v>
      </c>
      <c r="D53" s="4" t="s">
        <v>292</v>
      </c>
      <c r="E53" s="20"/>
      <c r="F53" s="20"/>
      <c r="G53" s="62" t="s">
        <v>214</v>
      </c>
      <c r="H53" s="62" t="s">
        <v>27</v>
      </c>
      <c r="I53" s="62" t="s">
        <v>25</v>
      </c>
      <c r="J53" s="62" t="s">
        <v>15</v>
      </c>
      <c r="K53" s="62" t="s">
        <v>293</v>
      </c>
      <c r="L53" s="62" t="s">
        <v>294</v>
      </c>
      <c r="M53" s="62" t="s">
        <v>295</v>
      </c>
      <c r="N53" s="62" t="s">
        <v>296</v>
      </c>
      <c r="O53" s="20"/>
      <c r="P53" s="20"/>
      <c r="Q53" s="20"/>
      <c r="R53" s="20"/>
      <c r="S53" s="20"/>
      <c r="T53" s="20"/>
      <c r="U53" s="20"/>
      <c r="V53" s="20"/>
      <c r="W53" s="20"/>
      <c r="X53" s="20"/>
      <c r="Y53" s="20"/>
      <c r="Z53" s="20"/>
      <c r="AA53" s="20"/>
      <c r="AB53" s="20"/>
      <c r="AC53" s="20"/>
      <c r="AD53" s="20"/>
      <c r="AE53" s="20"/>
      <c r="AF53" s="20"/>
      <c r="AG53" s="20"/>
    </row>
    <row r="54" spans="1:33" ht="15">
      <c r="A54" s="4" t="s">
        <v>297</v>
      </c>
      <c r="B54" s="61">
        <v>4</v>
      </c>
      <c r="C54" s="4" t="s">
        <v>298</v>
      </c>
      <c r="D54" s="4" t="s">
        <v>299</v>
      </c>
      <c r="E54" s="20"/>
      <c r="F54" s="20"/>
      <c r="G54" s="62" t="s">
        <v>219</v>
      </c>
      <c r="H54" s="62" t="s">
        <v>27</v>
      </c>
      <c r="I54" s="62" t="s">
        <v>22</v>
      </c>
      <c r="J54" s="62" t="s">
        <v>14</v>
      </c>
      <c r="K54" s="62" t="s">
        <v>300</v>
      </c>
      <c r="L54" s="62" t="s">
        <v>301</v>
      </c>
      <c r="M54" s="62" t="s">
        <v>295</v>
      </c>
      <c r="N54" s="62" t="s">
        <v>302</v>
      </c>
      <c r="O54" s="20"/>
      <c r="P54" s="20"/>
      <c r="Q54" s="20"/>
      <c r="R54" s="20"/>
      <c r="S54" s="20"/>
      <c r="T54" s="20"/>
      <c r="U54" s="20"/>
      <c r="V54" s="20"/>
      <c r="W54" s="20"/>
      <c r="X54" s="20"/>
      <c r="Y54" s="20"/>
      <c r="Z54" s="20"/>
      <c r="AA54" s="20"/>
      <c r="AB54" s="20"/>
      <c r="AC54" s="20"/>
      <c r="AD54" s="20"/>
      <c r="AE54" s="20"/>
      <c r="AF54" s="20"/>
      <c r="AG54" s="20"/>
    </row>
    <row r="55" spans="1:33" ht="15">
      <c r="A55" s="4" t="s">
        <v>303</v>
      </c>
      <c r="B55" s="4" t="s">
        <v>304</v>
      </c>
      <c r="C55" s="4" t="s">
        <v>305</v>
      </c>
      <c r="D55" s="4" t="s">
        <v>306</v>
      </c>
      <c r="E55" s="20"/>
      <c r="F55" s="20"/>
      <c r="G55" s="62" t="s">
        <v>223</v>
      </c>
      <c r="H55" s="62" t="s">
        <v>307</v>
      </c>
      <c r="I55" s="62" t="s">
        <v>22</v>
      </c>
      <c r="J55" s="62" t="s">
        <v>15</v>
      </c>
      <c r="K55" s="62" t="s">
        <v>308</v>
      </c>
      <c r="L55" s="62" t="s">
        <v>309</v>
      </c>
      <c r="M55" s="62" t="s">
        <v>310</v>
      </c>
      <c r="N55" s="62" t="s">
        <v>311</v>
      </c>
      <c r="O55" s="20"/>
      <c r="P55" s="20"/>
      <c r="Q55" s="20"/>
      <c r="R55" s="20"/>
      <c r="S55" s="20"/>
      <c r="T55" s="20"/>
      <c r="U55" s="20"/>
      <c r="V55" s="20"/>
      <c r="W55" s="20"/>
      <c r="X55" s="20"/>
      <c r="Y55" s="20"/>
      <c r="Z55" s="20"/>
      <c r="AA55" s="20"/>
      <c r="AB55" s="20"/>
      <c r="AC55" s="20"/>
      <c r="AD55" s="20"/>
      <c r="AE55" s="20"/>
      <c r="AF55" s="20"/>
      <c r="AG55" s="20"/>
    </row>
    <row r="56" spans="1:33" ht="15">
      <c r="A56" s="4" t="s">
        <v>312</v>
      </c>
      <c r="B56" s="59">
        <v>100000</v>
      </c>
      <c r="C56" s="4" t="s">
        <v>313</v>
      </c>
      <c r="D56" s="4" t="s">
        <v>314</v>
      </c>
      <c r="E56" s="20"/>
      <c r="F56" s="20"/>
      <c r="G56" s="62" t="s">
        <v>315</v>
      </c>
      <c r="H56" s="62" t="s">
        <v>316</v>
      </c>
      <c r="I56" s="62" t="s">
        <v>23</v>
      </c>
      <c r="J56" s="62" t="s">
        <v>14</v>
      </c>
      <c r="K56" s="62" t="s">
        <v>317</v>
      </c>
      <c r="L56" s="62" t="s">
        <v>318</v>
      </c>
      <c r="M56" s="62" t="s">
        <v>319</v>
      </c>
      <c r="N56" s="62" t="s">
        <v>320</v>
      </c>
      <c r="O56" s="20"/>
      <c r="P56" s="20"/>
      <c r="Q56" s="20"/>
      <c r="R56" s="20"/>
      <c r="S56" s="20"/>
      <c r="T56" s="20"/>
      <c r="U56" s="20"/>
      <c r="V56" s="20"/>
      <c r="W56" s="20"/>
      <c r="X56" s="20"/>
      <c r="Y56" s="20"/>
      <c r="Z56" s="20"/>
      <c r="AA56" s="20"/>
      <c r="AB56" s="20"/>
      <c r="AC56" s="20"/>
      <c r="AD56" s="20"/>
      <c r="AE56" s="20"/>
      <c r="AF56" s="20"/>
      <c r="AG56" s="20"/>
    </row>
    <row r="57" spans="1:33" ht="15">
      <c r="A57" s="31" t="s">
        <v>321</v>
      </c>
      <c r="B57" s="20">
        <v>1600</v>
      </c>
      <c r="C57" s="20" t="s">
        <v>17</v>
      </c>
      <c r="D57" s="20"/>
      <c r="E57" s="20"/>
      <c r="F57" s="20"/>
      <c r="G57" s="62" t="s">
        <v>322</v>
      </c>
      <c r="H57" s="62" t="s">
        <v>259</v>
      </c>
      <c r="I57" s="62" t="s">
        <v>22</v>
      </c>
      <c r="J57" s="62" t="s">
        <v>15</v>
      </c>
      <c r="K57" s="62" t="s">
        <v>323</v>
      </c>
      <c r="L57" s="62" t="s">
        <v>324</v>
      </c>
      <c r="M57" s="62" t="s">
        <v>261</v>
      </c>
      <c r="N57" s="62" t="s">
        <v>325</v>
      </c>
      <c r="O57" s="20"/>
      <c r="P57" s="20"/>
      <c r="Q57" s="20"/>
      <c r="R57" s="20"/>
      <c r="S57" s="20"/>
      <c r="T57" s="20"/>
      <c r="U57" s="20"/>
      <c r="V57" s="20"/>
      <c r="W57" s="20"/>
      <c r="X57" s="20"/>
      <c r="Y57" s="20"/>
      <c r="Z57" s="20"/>
      <c r="AA57" s="20"/>
      <c r="AB57" s="20"/>
      <c r="AC57" s="20"/>
      <c r="AD57" s="20"/>
      <c r="AE57" s="20"/>
      <c r="AF57" s="20"/>
      <c r="AG57" s="20"/>
    </row>
    <row r="58" spans="1:33" ht="15">
      <c r="A58" s="31"/>
      <c r="B58" s="20"/>
      <c r="C58" s="20"/>
      <c r="D58" s="20"/>
      <c r="E58" s="20"/>
      <c r="F58" s="20"/>
      <c r="G58" s="62" t="s">
        <v>326</v>
      </c>
      <c r="H58" s="62" t="s">
        <v>27</v>
      </c>
      <c r="I58" s="62" t="s">
        <v>327</v>
      </c>
      <c r="J58" s="62" t="s">
        <v>328</v>
      </c>
      <c r="K58" s="62" t="s">
        <v>329</v>
      </c>
      <c r="L58" s="62" t="s">
        <v>330</v>
      </c>
      <c r="M58" s="62" t="s">
        <v>331</v>
      </c>
      <c r="N58" s="62" t="s">
        <v>332</v>
      </c>
      <c r="O58" s="20"/>
      <c r="P58" s="20"/>
      <c r="Q58" s="20"/>
      <c r="R58" s="20"/>
      <c r="S58" s="20"/>
      <c r="T58" s="20"/>
      <c r="U58" s="20"/>
      <c r="V58" s="20"/>
      <c r="W58" s="20"/>
      <c r="X58" s="20"/>
      <c r="Y58" s="20"/>
      <c r="Z58" s="20"/>
      <c r="AA58" s="20"/>
      <c r="AB58" s="20"/>
      <c r="AC58" s="20"/>
      <c r="AD58" s="20"/>
      <c r="AE58" s="20"/>
      <c r="AF58" s="20"/>
      <c r="AG58" s="20"/>
    </row>
    <row r="59" spans="1:33" ht="13">
      <c r="A59" s="31"/>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row>
    <row r="60" spans="1:33" ht="13">
      <c r="A60" s="43" t="s">
        <v>87</v>
      </c>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row>
    <row r="61" spans="1:33" ht="13">
      <c r="A61" s="44" t="s">
        <v>19</v>
      </c>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row>
    <row r="62" spans="1:33" ht="13">
      <c r="A62" s="46" t="s">
        <v>88</v>
      </c>
      <c r="B62" s="46" t="s">
        <v>8</v>
      </c>
      <c r="C62" s="46" t="s">
        <v>19</v>
      </c>
      <c r="D62" s="47" t="s">
        <v>57</v>
      </c>
      <c r="E62" s="46"/>
      <c r="F62" s="48"/>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row>
    <row r="63" spans="1:33" ht="13">
      <c r="A63" s="63" t="s">
        <v>190</v>
      </c>
      <c r="B63" s="64" t="s">
        <v>191</v>
      </c>
      <c r="C63" s="63">
        <f>G21*B48</f>
        <v>2000000</v>
      </c>
      <c r="D63" s="68">
        <f>C63/B47</f>
        <v>5</v>
      </c>
      <c r="E63" s="18"/>
      <c r="F63" s="34"/>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row>
    <row r="64" spans="1:33" ht="13">
      <c r="A64" s="63" t="s">
        <v>190</v>
      </c>
      <c r="B64" s="64" t="s">
        <v>196</v>
      </c>
      <c r="C64" s="63">
        <f>G22*B48</f>
        <v>1000000</v>
      </c>
      <c r="D64" s="68">
        <f>C64/B47</f>
        <v>2.5</v>
      </c>
      <c r="E64" s="18"/>
      <c r="F64" s="34"/>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row>
    <row r="65" spans="1:33" ht="13">
      <c r="A65" s="63" t="s">
        <v>190</v>
      </c>
      <c r="B65" s="64" t="s">
        <v>200</v>
      </c>
      <c r="C65" s="63">
        <f>G23*B48*-1</f>
        <v>-1000000</v>
      </c>
      <c r="D65" s="68">
        <f>C65/B47</f>
        <v>-2.5</v>
      </c>
      <c r="E65" s="18"/>
      <c r="F65" s="34"/>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row>
    <row r="66" spans="1:33" ht="13">
      <c r="A66" s="63" t="s">
        <v>204</v>
      </c>
      <c r="B66" s="64" t="s">
        <v>55</v>
      </c>
      <c r="C66" s="69">
        <f>(B47/B49)*0.5</f>
        <v>5000</v>
      </c>
      <c r="D66" s="64">
        <f>C66/B47</f>
        <v>1.2500000000000001E-2</v>
      </c>
      <c r="E66" s="18"/>
      <c r="F66" s="34"/>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row>
    <row r="67" spans="1:33" ht="13">
      <c r="A67" s="63" t="s">
        <v>204</v>
      </c>
      <c r="B67" s="64" t="s">
        <v>210</v>
      </c>
      <c r="C67" s="63">
        <f>G25*B49</f>
        <v>12000</v>
      </c>
      <c r="D67" s="64">
        <f>C67/C63</f>
        <v>6.0000000000000001E-3</v>
      </c>
      <c r="E67" s="18"/>
      <c r="F67" s="34"/>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row>
    <row r="68" spans="1:33" ht="13">
      <c r="A68" s="63" t="s">
        <v>27</v>
      </c>
      <c r="B68" s="64" t="s">
        <v>214</v>
      </c>
      <c r="C68" s="63">
        <f>G26*B57</f>
        <v>1600</v>
      </c>
      <c r="D68" s="68">
        <f>C68/B47</f>
        <v>4.0000000000000001E-3</v>
      </c>
      <c r="E68" s="18"/>
      <c r="F68" s="34"/>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row>
    <row r="69" spans="1:33" ht="13">
      <c r="A69" s="63" t="s">
        <v>27</v>
      </c>
      <c r="B69" s="64" t="s">
        <v>219</v>
      </c>
      <c r="C69" s="63">
        <f>G27*B57*-1</f>
        <v>-8000</v>
      </c>
      <c r="D69" s="64">
        <f>C69/C63</f>
        <v>-4.0000000000000001E-3</v>
      </c>
      <c r="E69" s="18"/>
      <c r="F69" s="34"/>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row>
    <row r="70" spans="1:33" ht="13">
      <c r="A70" s="63" t="s">
        <v>186</v>
      </c>
      <c r="B70" s="64" t="s">
        <v>223</v>
      </c>
      <c r="C70" s="63">
        <v>8000</v>
      </c>
      <c r="D70" s="68">
        <f>C70/B47</f>
        <v>0.02</v>
      </c>
      <c r="E70" s="18"/>
      <c r="F70" s="34"/>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row>
    <row r="71" spans="1:33" ht="13">
      <c r="A71" s="63" t="s">
        <v>333</v>
      </c>
      <c r="B71" s="64" t="s">
        <v>227</v>
      </c>
      <c r="C71" s="63">
        <f>G29*B51</f>
        <v>280</v>
      </c>
      <c r="D71" s="64">
        <f>C71/C63</f>
        <v>1.3999999999999999E-4</v>
      </c>
      <c r="E71" s="18"/>
      <c r="F71" s="34"/>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row>
    <row r="72" spans="1:33" ht="13">
      <c r="A72" s="63" t="s">
        <v>333</v>
      </c>
      <c r="B72" s="64" t="s">
        <v>232</v>
      </c>
      <c r="C72" s="63">
        <f>G30*B56</f>
        <v>114999.99999999999</v>
      </c>
      <c r="D72" s="68">
        <f>C72/B47</f>
        <v>0.28749999999999998</v>
      </c>
      <c r="E72" s="18"/>
      <c r="F72" s="34"/>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row>
    <row r="73" spans="1:33" ht="13">
      <c r="A73" s="63" t="s">
        <v>188</v>
      </c>
      <c r="B73" s="64" t="s">
        <v>237</v>
      </c>
      <c r="C73" s="63">
        <f>G31*B56*-1</f>
        <v>-6400</v>
      </c>
      <c r="D73" s="68">
        <f>C73/B47</f>
        <v>-1.6E-2</v>
      </c>
      <c r="E73" s="18"/>
      <c r="F73" s="34"/>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row>
    <row r="74" spans="1:33" ht="13">
      <c r="A74" s="63" t="s">
        <v>93</v>
      </c>
      <c r="B74" s="64" t="s">
        <v>241</v>
      </c>
      <c r="C74" s="63">
        <f>G32*(B49+B48)</f>
        <v>2400000</v>
      </c>
      <c r="D74" s="68">
        <f>C74/B47</f>
        <v>6</v>
      </c>
      <c r="E74" s="18"/>
      <c r="F74" s="34"/>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row>
    <row r="75" spans="1:33" ht="13">
      <c r="A75" s="18"/>
      <c r="B75" s="18"/>
      <c r="C75" s="18"/>
      <c r="D75" s="33"/>
      <c r="E75" s="18"/>
      <c r="F75" s="34"/>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row>
    <row r="76" spans="1:33" ht="13">
      <c r="A76" s="71" t="s">
        <v>89</v>
      </c>
      <c r="B76" s="72"/>
      <c r="C76" s="49"/>
      <c r="D76" s="50">
        <f>SUM(D63:D74)</f>
        <v>11.310140000000001</v>
      </c>
      <c r="E76" s="49"/>
      <c r="F76" s="51"/>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row>
    <row r="77" spans="1:33" ht="13">
      <c r="A77" s="73" t="s">
        <v>90</v>
      </c>
      <c r="B77" s="74"/>
      <c r="C77" s="18"/>
      <c r="D77" s="18">
        <f>SUM(D71:D73)</f>
        <v>0.27163999999999994</v>
      </c>
      <c r="E77" s="18"/>
      <c r="F77" s="34"/>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row>
    <row r="78" spans="1:33" ht="13">
      <c r="A78" s="75" t="s">
        <v>91</v>
      </c>
      <c r="B78" s="74"/>
      <c r="C78" s="2"/>
      <c r="D78" s="70">
        <f>SUM(D63:D70)+SUM(D73:D74)</f>
        <v>11.022500000000001</v>
      </c>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spans="1:33" ht="13">
      <c r="A79" s="1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spans="1:33" ht="13">
      <c r="A80" s="52" t="s">
        <v>92</v>
      </c>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row>
    <row r="81" spans="1:33" ht="13">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row>
    <row r="82" spans="1:33" ht="13">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row>
    <row r="83" spans="1:33" ht="1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row>
    <row r="84" spans="1:33" ht="13">
      <c r="A84" s="18"/>
      <c r="B84" s="18"/>
      <c r="C84" s="25"/>
      <c r="D84" s="35"/>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row>
    <row r="85" spans="1:33" ht="13">
      <c r="A85" s="18"/>
      <c r="B85" s="18"/>
      <c r="C85" s="25"/>
      <c r="D85" s="35"/>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row>
    <row r="86" spans="1:33" ht="13">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row>
    <row r="87" spans="1:33" ht="13">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row>
    <row r="88" spans="1:33" ht="13">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row>
    <row r="89" spans="1:33" ht="13">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row>
    <row r="90" spans="1:33" ht="13">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row>
    <row r="91" spans="1:33" ht="13">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row>
    <row r="92" spans="1:33" ht="13">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row>
    <row r="93" spans="1:33" ht="1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row>
    <row r="94" spans="1:33" ht="13">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row>
    <row r="95" spans="1:33" ht="13">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row>
    <row r="96" spans="1:33" ht="13">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row>
    <row r="97" spans="1:33" ht="13">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row>
    <row r="98" spans="1:33" ht="13">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row>
    <row r="99" spans="1:33" ht="13">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row>
    <row r="100" spans="1:33" ht="13">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row>
    <row r="101" spans="1:33" ht="13">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row>
    <row r="102" spans="1:33" ht="13">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row>
    <row r="103" spans="1:33" ht="1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row>
    <row r="104" spans="1:33" ht="13">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row>
    <row r="105" spans="1:33" ht="13">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row>
    <row r="106" spans="1:33" ht="13">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row>
    <row r="107" spans="1:33" ht="13">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row>
    <row r="108" spans="1:33" ht="13">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row>
    <row r="109" spans="1:33" ht="13">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row>
    <row r="110" spans="1:33" ht="13">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row>
    <row r="111" spans="1:33" ht="13">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row>
    <row r="112" spans="1:33" ht="13">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row>
    <row r="113" spans="1:33" ht="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row>
    <row r="114" spans="1:33" ht="13">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row>
    <row r="115" spans="1:33" ht="13">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row>
    <row r="116" spans="1:33" ht="13">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row>
    <row r="117" spans="1:33" ht="13">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row>
    <row r="118" spans="1:33" ht="13">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row>
    <row r="119" spans="1:33" ht="13">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row>
    <row r="120" spans="1:33" ht="13">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row>
    <row r="121" spans="1:33" ht="13">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row>
    <row r="122" spans="1:33" ht="13">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row>
    <row r="123" spans="1:33" ht="1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row>
    <row r="124" spans="1:33" ht="13">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row>
    <row r="125" spans="1:33" ht="13">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row>
    <row r="126" spans="1:33" ht="13">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row>
    <row r="127" spans="1:33" ht="13">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row>
    <row r="128" spans="1:33" ht="13">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row>
    <row r="129" spans="1:33" ht="13">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row>
    <row r="130" spans="1:33" ht="13">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row>
    <row r="131" spans="1:33" ht="13">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row>
    <row r="132" spans="1:33" ht="13">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row>
    <row r="133" spans="1:33" ht="1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row>
    <row r="134" spans="1:33" ht="13">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row>
    <row r="135" spans="1:33" ht="13">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row>
    <row r="136" spans="1:33" ht="13">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row>
    <row r="137" spans="1:33" ht="13">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row>
    <row r="138" spans="1:33" ht="13">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row>
    <row r="139" spans="1:33" ht="13">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row>
    <row r="140" spans="1:33" ht="13">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row>
    <row r="141" spans="1:33" ht="13">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row>
    <row r="142" spans="1:33" ht="13">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row>
    <row r="143" spans="1:33" ht="1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row>
    <row r="144" spans="1:33" ht="13">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row>
    <row r="145" spans="1:33" ht="13">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row>
    <row r="146" spans="1:33" ht="13">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row>
    <row r="147" spans="1:33" ht="13">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row>
    <row r="148" spans="1:33" ht="13">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row>
    <row r="149" spans="1:33" ht="13">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row>
    <row r="150" spans="1:33" ht="13">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row>
    <row r="151" spans="1:33" ht="13">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row>
    <row r="152" spans="1:33" ht="13">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row>
    <row r="153" spans="1:33" ht="1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row>
    <row r="154" spans="1:33" ht="13">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row>
    <row r="155" spans="1:33" ht="13">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row>
    <row r="156" spans="1:33" ht="13">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row>
    <row r="157" spans="1:33" ht="13">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row>
    <row r="158" spans="1:33" ht="13">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row>
    <row r="159" spans="1:33" ht="13">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row>
    <row r="160" spans="1:33" ht="13">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row>
    <row r="161" spans="1:33" ht="13">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row>
    <row r="162" spans="1:33" ht="13">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row>
    <row r="163" spans="1:33" ht="1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row>
    <row r="164" spans="1:33" ht="13">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row>
    <row r="165" spans="1:33" ht="13">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row>
    <row r="166" spans="1:33" ht="13">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row>
    <row r="167" spans="1:33" ht="13">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row>
    <row r="168" spans="1:33" ht="13">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row>
    <row r="169" spans="1:33" ht="13">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row>
    <row r="170" spans="1:33" ht="13">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row>
    <row r="171" spans="1:33" ht="13">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row>
    <row r="172" spans="1:33" ht="13">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row>
    <row r="173" spans="1:33" ht="1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row>
    <row r="174" spans="1:33" ht="13">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row>
    <row r="175" spans="1:33" ht="13">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row>
    <row r="176" spans="1:33" ht="13">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row>
    <row r="177" spans="1:33" ht="13">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row>
    <row r="178" spans="1:33" ht="13">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row>
    <row r="179" spans="1:33" ht="13">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row>
    <row r="180" spans="1:33" ht="13">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row>
    <row r="181" spans="1:33" ht="13">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row>
    <row r="182" spans="1:33" ht="13">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row>
    <row r="183" spans="1:33" ht="1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row>
    <row r="184" spans="1:33" ht="13">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row>
    <row r="185" spans="1:33" ht="13">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row>
    <row r="186" spans="1:33" ht="13">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row>
    <row r="187" spans="1:33" ht="13">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row>
    <row r="188" spans="1:33" ht="13">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row>
    <row r="189" spans="1:33" ht="13">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row>
    <row r="190" spans="1:33" ht="13">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row>
    <row r="191" spans="1:33" ht="13">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row>
    <row r="192" spans="1:33" ht="13">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row>
    <row r="193" spans="1:33" ht="1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row>
    <row r="194" spans="1:33" ht="13">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row>
    <row r="195" spans="1:33" ht="13">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row>
    <row r="196" spans="1:33" ht="13">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row>
    <row r="197" spans="1:33" ht="13">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row>
    <row r="198" spans="1:33" ht="13">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row>
    <row r="199" spans="1:33" ht="13">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row>
    <row r="200" spans="1:33" ht="13">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row>
    <row r="201" spans="1:33" ht="13">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row>
    <row r="202" spans="1:33" ht="13">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row>
    <row r="203" spans="1:33" ht="1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row>
    <row r="204" spans="1:33" ht="13">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row>
    <row r="205" spans="1:33" ht="13">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row>
    <row r="206" spans="1:33" ht="13">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row>
    <row r="207" spans="1:33" ht="13">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row>
    <row r="208" spans="1:33" ht="13">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row>
    <row r="209" spans="1:33" ht="13">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row>
    <row r="210" spans="1:33" ht="13">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row>
    <row r="211" spans="1:33" ht="13">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row>
    <row r="212" spans="1:33" ht="13">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row>
    <row r="213" spans="1:33" ht="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row>
    <row r="214" spans="1:33" ht="13">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row>
    <row r="215" spans="1:33" ht="13">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row>
    <row r="216" spans="1:33" ht="13">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row>
    <row r="217" spans="1:33" ht="13">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row>
    <row r="218" spans="1:33" ht="13">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row>
    <row r="219" spans="1:33" ht="13">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row>
    <row r="220" spans="1:33" ht="13">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row>
    <row r="221" spans="1:33" ht="13">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row>
    <row r="222" spans="1:33" ht="13">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row>
    <row r="223" spans="1:33" ht="1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row>
    <row r="224" spans="1:33" ht="13">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row>
    <row r="225" spans="1:33" ht="13">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row>
    <row r="226" spans="1:33" ht="13">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row>
    <row r="227" spans="1:33" ht="13">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row>
    <row r="228" spans="1:33" ht="13">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row>
    <row r="229" spans="1:33" ht="13">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row>
    <row r="230" spans="1:33" ht="13">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row>
    <row r="231" spans="1:33" ht="13">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row>
    <row r="232" spans="1:33" ht="13">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row>
    <row r="233" spans="1:33" ht="1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row>
    <row r="234" spans="1:33" ht="13">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row>
    <row r="235" spans="1:33" ht="13">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row>
    <row r="236" spans="1:33" ht="13">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row>
    <row r="237" spans="1:33" ht="13">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row>
    <row r="238" spans="1:33" ht="13">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row>
    <row r="239" spans="1:33" ht="13">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row>
    <row r="240" spans="1:33" ht="13">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row>
    <row r="241" spans="1:33" ht="13">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row>
    <row r="242" spans="1:33" ht="13">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row>
    <row r="243" spans="1:33" ht="1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row>
    <row r="244" spans="1:33" ht="13">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row>
    <row r="245" spans="1:33" ht="13">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row>
    <row r="246" spans="1:33" ht="13">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row>
    <row r="247" spans="1:33" ht="13">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row>
    <row r="248" spans="1:33" ht="13">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row>
    <row r="249" spans="1:33" ht="13">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row>
    <row r="250" spans="1:33" ht="13">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row>
    <row r="251" spans="1:33" ht="13">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row>
    <row r="252" spans="1:33" ht="13">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row>
    <row r="253" spans="1:33" ht="1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row>
    <row r="254" spans="1:33" ht="13">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row>
    <row r="255" spans="1:33" ht="13">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row>
    <row r="256" spans="1:33" ht="13">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row>
    <row r="257" spans="1:33" ht="13">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row>
    <row r="258" spans="1:33" ht="13">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row>
    <row r="259" spans="1:33" ht="13">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row>
    <row r="260" spans="1:33" ht="13">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row>
    <row r="261" spans="1:33" ht="13">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row>
    <row r="262" spans="1:33" ht="13">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row>
    <row r="263" spans="1:33" ht="1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row>
    <row r="264" spans="1:33" ht="13">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row>
    <row r="265" spans="1:33" ht="13">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row>
    <row r="266" spans="1:33" ht="13">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row>
    <row r="267" spans="1:33" ht="13">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row>
    <row r="268" spans="1:33" ht="13">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row>
    <row r="269" spans="1:33" ht="13">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row>
    <row r="270" spans="1:33" ht="13">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row>
    <row r="271" spans="1:33" ht="13">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row>
    <row r="272" spans="1:33" ht="13">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row>
    <row r="273" spans="1:33" ht="1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row>
    <row r="274" spans="1:33" ht="13">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row>
    <row r="275" spans="1:33" ht="13">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row>
    <row r="276" spans="1:33" ht="13">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row>
    <row r="277" spans="1:33" ht="13">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row>
    <row r="278" spans="1:33" ht="13">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row>
    <row r="279" spans="1:33" ht="13">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row>
    <row r="280" spans="1:33" ht="13">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row>
    <row r="281" spans="1:33" ht="13">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row>
    <row r="282" spans="1:33" ht="13">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row>
    <row r="283" spans="1:33" ht="1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row>
    <row r="284" spans="1:33" ht="13">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row>
    <row r="285" spans="1:33" ht="13">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row>
    <row r="286" spans="1:33" ht="13">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row>
    <row r="287" spans="1:33" ht="13">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row>
    <row r="288" spans="1:33" ht="13">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row>
    <row r="289" spans="1:33" ht="13">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row>
    <row r="290" spans="1:33" ht="13">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row>
    <row r="291" spans="1:33" ht="13">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row>
    <row r="292" spans="1:33" ht="13">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row>
    <row r="293" spans="1:33" ht="1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row>
    <row r="294" spans="1:33" ht="13">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row>
    <row r="295" spans="1:33" ht="13">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row>
    <row r="296" spans="1:33" ht="13">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row>
    <row r="297" spans="1:33" ht="13">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row>
    <row r="298" spans="1:33" ht="13">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row>
    <row r="299" spans="1:33" ht="13">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row>
    <row r="300" spans="1:33" ht="13">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row>
    <row r="301" spans="1:33" ht="13">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row>
    <row r="302" spans="1:33" ht="13">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row>
    <row r="303" spans="1:33" ht="1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row>
    <row r="304" spans="1:33" ht="13">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row>
    <row r="305" spans="1:33" ht="13">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row>
    <row r="306" spans="1:33" ht="13">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row>
    <row r="307" spans="1:33" ht="13">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row>
    <row r="308" spans="1:33" ht="13">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row>
    <row r="309" spans="1:33" ht="13">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row>
    <row r="310" spans="1:33" ht="13">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row>
    <row r="311" spans="1:33" ht="13">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row>
    <row r="312" spans="1:33" ht="13">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row>
    <row r="313" spans="1:33" ht="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row>
    <row r="314" spans="1:33" ht="13">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row>
    <row r="315" spans="1:33" ht="13">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row>
    <row r="316" spans="1:33" ht="13">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row>
    <row r="317" spans="1:33" ht="13">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row>
    <row r="318" spans="1:33" ht="13">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row>
    <row r="319" spans="1:33" ht="13">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row>
    <row r="320" spans="1:33" ht="13">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row>
    <row r="321" spans="1:33" ht="13">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row>
    <row r="322" spans="1:33" ht="13">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row>
    <row r="323" spans="1:33" ht="1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row>
    <row r="324" spans="1:33" ht="13">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row>
    <row r="325" spans="1:33" ht="13">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row>
    <row r="326" spans="1:33" ht="13">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row>
    <row r="327" spans="1:33" ht="13">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row>
    <row r="328" spans="1:33" ht="13">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row>
    <row r="329" spans="1:33" ht="13">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row>
    <row r="330" spans="1:33" ht="13">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row>
    <row r="331" spans="1:33" ht="13">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row>
    <row r="332" spans="1:33" ht="13">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row>
    <row r="333" spans="1:33" ht="1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row>
    <row r="334" spans="1:33" ht="13">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row>
    <row r="335" spans="1:33" ht="13">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row>
    <row r="336" spans="1:33" ht="13">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row>
    <row r="337" spans="1:33" ht="13">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row>
    <row r="338" spans="1:33" ht="13">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row>
    <row r="339" spans="1:33" ht="13">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row>
    <row r="340" spans="1:33" ht="13">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row>
    <row r="341" spans="1:33" ht="13">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row>
    <row r="342" spans="1:33" ht="13">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row>
    <row r="343" spans="1:33" ht="1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row>
    <row r="344" spans="1:33" ht="13">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row>
    <row r="345" spans="1:33" ht="13">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row>
    <row r="346" spans="1:33" ht="13">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row>
    <row r="347" spans="1:33" ht="13">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row>
    <row r="348" spans="1:33" ht="13">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row>
    <row r="349" spans="1:33" ht="13">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row>
    <row r="350" spans="1:33" ht="13">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row>
    <row r="351" spans="1:33" ht="13">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row>
    <row r="352" spans="1:33" ht="13">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row>
    <row r="353" spans="1:33" ht="1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row>
    <row r="354" spans="1:33" ht="13">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row>
    <row r="355" spans="1:33" ht="13">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row>
    <row r="356" spans="1:33" ht="13">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row>
    <row r="357" spans="1:33" ht="13">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row>
    <row r="358" spans="1:33" ht="13">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row>
    <row r="359" spans="1:33" ht="13">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row>
    <row r="360" spans="1:33" ht="13">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row>
    <row r="361" spans="1:33" ht="13">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row>
    <row r="362" spans="1:33" ht="13">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row>
    <row r="363" spans="1:33" ht="1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row>
    <row r="364" spans="1:33" ht="13">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row>
    <row r="365" spans="1:33" ht="13">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row>
    <row r="366" spans="1:33" ht="13">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row>
    <row r="367" spans="1:33" ht="13">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row>
    <row r="368" spans="1:33" ht="13">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row>
    <row r="369" spans="1:33" ht="13">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row>
    <row r="370" spans="1:33" ht="13">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row>
    <row r="371" spans="1:33" ht="13">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row>
    <row r="372" spans="1:33" ht="13">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row>
    <row r="373" spans="1:33" ht="1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row>
    <row r="374" spans="1:33" ht="13">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row>
    <row r="375" spans="1:33" ht="13">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row>
    <row r="376" spans="1:33" ht="13">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row>
    <row r="377" spans="1:33" ht="13">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row>
    <row r="378" spans="1:33" ht="13">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row>
    <row r="379" spans="1:33" ht="13">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row>
    <row r="380" spans="1:33" ht="13">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row>
    <row r="381" spans="1:33" ht="13">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row>
    <row r="382" spans="1:33" ht="13">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row>
    <row r="383" spans="1:33" ht="1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row>
    <row r="384" spans="1:33" ht="13">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row>
    <row r="385" spans="1:33" ht="13">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row>
    <row r="386" spans="1:33" ht="13">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row>
    <row r="387" spans="1:33" ht="13">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row>
    <row r="388" spans="1:33" ht="13">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row>
    <row r="389" spans="1:33" ht="13">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row>
    <row r="390" spans="1:33" ht="13">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row>
    <row r="391" spans="1:33" ht="13">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row>
    <row r="392" spans="1:33" ht="13">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row>
    <row r="393" spans="1:33" ht="1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row>
    <row r="394" spans="1:33" ht="13">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row>
    <row r="395" spans="1:33" ht="13">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row>
    <row r="396" spans="1:33" ht="13">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row>
    <row r="397" spans="1:33" ht="13">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row>
    <row r="398" spans="1:33" ht="13">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row>
    <row r="399" spans="1:33" ht="13">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row>
    <row r="400" spans="1:33" ht="13">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row>
    <row r="401" spans="1:33" ht="13">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row>
    <row r="402" spans="1:33" ht="13">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row>
    <row r="403" spans="1:33" ht="1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row>
    <row r="404" spans="1:33" ht="13">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row>
    <row r="405" spans="1:33" ht="13">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row>
    <row r="406" spans="1:33" ht="13">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row>
    <row r="407" spans="1:33" ht="13">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row>
    <row r="408" spans="1:33" ht="13">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row>
    <row r="409" spans="1:33" ht="13">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row>
    <row r="410" spans="1:33" ht="13">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row>
    <row r="411" spans="1:33" ht="13">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row>
    <row r="412" spans="1:33" ht="13">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row>
    <row r="413" spans="1:33" ht="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row>
    <row r="414" spans="1:33" ht="13">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row>
    <row r="415" spans="1:33" ht="13">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row>
    <row r="416" spans="1:33" ht="13">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row>
    <row r="417" spans="1:33" ht="13">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row>
    <row r="418" spans="1:33" ht="13">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row>
    <row r="419" spans="1:33" ht="13">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row>
    <row r="420" spans="1:33" ht="13">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row>
    <row r="421" spans="1:33" ht="13">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row>
    <row r="422" spans="1:33" ht="13">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row>
    <row r="423" spans="1:33" ht="1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row>
    <row r="424" spans="1:33" ht="13">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row>
    <row r="425" spans="1:33" ht="13">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row>
    <row r="426" spans="1:33" ht="13">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row>
    <row r="427" spans="1:33" ht="13">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row>
    <row r="428" spans="1:33" ht="13">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row>
    <row r="429" spans="1:33" ht="13">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row>
    <row r="430" spans="1:33" ht="13">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row>
    <row r="431" spans="1:33" ht="13">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row>
    <row r="432" spans="1:33" ht="13">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row>
    <row r="433" spans="1:33" ht="1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row>
    <row r="434" spans="1:33" ht="13">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row>
    <row r="435" spans="1:33" ht="13">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row>
    <row r="436" spans="1:33" ht="13">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row>
    <row r="437" spans="1:33" ht="13">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row>
    <row r="438" spans="1:33" ht="13">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row>
    <row r="439" spans="1:33" ht="13">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row>
    <row r="440" spans="1:33" ht="13">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row>
    <row r="441" spans="1:33" ht="13">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row>
    <row r="442" spans="1:33" ht="13">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row>
    <row r="443" spans="1:33" ht="1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row>
    <row r="444" spans="1:33" ht="13">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row>
    <row r="445" spans="1:33" ht="13">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row>
    <row r="446" spans="1:33" ht="13">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row>
    <row r="447" spans="1:33" ht="13">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row>
    <row r="448" spans="1:33" ht="13">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row>
    <row r="449" spans="1:33" ht="13">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row>
    <row r="450" spans="1:33" ht="13">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row>
    <row r="451" spans="1:33" ht="13">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row>
    <row r="452" spans="1:33" ht="13">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row>
    <row r="453" spans="1:33" ht="1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row>
    <row r="454" spans="1:33" ht="13">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row>
    <row r="455" spans="1:33" ht="13">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row>
    <row r="456" spans="1:33" ht="13">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row>
    <row r="457" spans="1:33" ht="13">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row>
    <row r="458" spans="1:33" ht="13">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row>
    <row r="459" spans="1:33" ht="13">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row>
    <row r="460" spans="1:33" ht="13">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row>
    <row r="461" spans="1:33" ht="13">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row>
    <row r="462" spans="1:33" ht="13">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row>
    <row r="463" spans="1:33" ht="1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row>
    <row r="464" spans="1:33" ht="13">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row>
    <row r="465" spans="1:33" ht="13">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row>
    <row r="466" spans="1:33" ht="13">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row>
    <row r="467" spans="1:33" ht="13">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row>
    <row r="468" spans="1:33" ht="13">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row>
    <row r="469" spans="1:33" ht="13">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row>
    <row r="470" spans="1:33" ht="13">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row>
    <row r="471" spans="1:33" ht="13">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row>
    <row r="472" spans="1:33" ht="13">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row>
    <row r="473" spans="1:33" ht="1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row>
    <row r="474" spans="1:33" ht="13">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row>
    <row r="475" spans="1:33" ht="13">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row>
    <row r="476" spans="1:33" ht="13">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row>
    <row r="477" spans="1:33" ht="13">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row>
    <row r="478" spans="1:33" ht="13">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row>
    <row r="479" spans="1:33" ht="13">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row>
    <row r="480" spans="1:33" ht="13">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row>
    <row r="481" spans="1:33" ht="13">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row>
    <row r="482" spans="1:33" ht="13">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row>
    <row r="483" spans="1:33" ht="1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row>
    <row r="484" spans="1:33" ht="13">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row>
    <row r="485" spans="1:33" ht="13">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row>
    <row r="486" spans="1:33" ht="13">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row>
    <row r="487" spans="1:33" ht="13">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row>
    <row r="488" spans="1:33" ht="13">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row>
    <row r="489" spans="1:33" ht="13">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row>
    <row r="490" spans="1:33" ht="13">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row>
    <row r="491" spans="1:33" ht="13">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row>
    <row r="492" spans="1:33" ht="13">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row>
    <row r="493" spans="1:33" ht="1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row>
    <row r="494" spans="1:33" ht="13">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row>
    <row r="495" spans="1:33" ht="13">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row>
    <row r="496" spans="1:33" ht="13">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row>
    <row r="497" spans="1:33" ht="13">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row>
    <row r="498" spans="1:33" ht="13">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row>
    <row r="499" spans="1:33" ht="13">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row>
    <row r="500" spans="1:33" ht="13">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row>
    <row r="501" spans="1:33" ht="13">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row>
    <row r="502" spans="1:33" ht="13">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row>
    <row r="503" spans="1:33" ht="1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row>
    <row r="504" spans="1:33" ht="13">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row>
    <row r="505" spans="1:33" ht="13">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row>
    <row r="506" spans="1:33" ht="13">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row>
    <row r="507" spans="1:33" ht="13">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row>
    <row r="508" spans="1:33" ht="13">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row>
    <row r="509" spans="1:33" ht="13">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row>
    <row r="510" spans="1:33" ht="13">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row>
    <row r="511" spans="1:33" ht="13">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row>
    <row r="512" spans="1:33" ht="13">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row>
    <row r="513" spans="1:33" ht="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row>
    <row r="514" spans="1:33" ht="13">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row>
    <row r="515" spans="1:33" ht="13">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row>
    <row r="516" spans="1:33" ht="13">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row>
    <row r="517" spans="1:33" ht="13">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row>
    <row r="518" spans="1:33" ht="13">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row>
    <row r="519" spans="1:33" ht="13">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row>
    <row r="520" spans="1:33" ht="13">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row>
    <row r="521" spans="1:33" ht="13">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row>
    <row r="522" spans="1:33" ht="13">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row>
    <row r="523" spans="1:33" ht="1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row>
    <row r="524" spans="1:33" ht="13">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row>
    <row r="525" spans="1:33" ht="13">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row>
    <row r="526" spans="1:33" ht="13">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row>
    <row r="527" spans="1:33" ht="13">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row>
    <row r="528" spans="1:33" ht="13">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row>
    <row r="529" spans="1:33" ht="13">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row>
    <row r="530" spans="1:33" ht="13">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row>
    <row r="531" spans="1:33" ht="13">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row>
    <row r="532" spans="1:33" ht="13">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row>
    <row r="533" spans="1:33" ht="1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row>
    <row r="534" spans="1:33" ht="13">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row>
    <row r="535" spans="1:33" ht="13">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row>
    <row r="536" spans="1:33" ht="13">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row>
    <row r="537" spans="1:33" ht="13">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row>
    <row r="538" spans="1:33" ht="13">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row>
    <row r="539" spans="1:33" ht="13">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row>
    <row r="540" spans="1:33" ht="13">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row>
    <row r="541" spans="1:33" ht="13">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row>
    <row r="542" spans="1:33" ht="13">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row>
    <row r="543" spans="1:33" ht="1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row>
    <row r="544" spans="1:33" ht="13">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row>
    <row r="545" spans="1:33" ht="13">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row>
    <row r="546" spans="1:33" ht="13">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row>
    <row r="547" spans="1:33" ht="13">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row>
    <row r="548" spans="1:33" ht="13">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row>
    <row r="549" spans="1:33" ht="13">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row>
    <row r="550" spans="1:33" ht="13">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row>
    <row r="551" spans="1:33" ht="13">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row>
    <row r="552" spans="1:33" ht="13">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row>
    <row r="553" spans="1:33" ht="1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row>
    <row r="554" spans="1:33" ht="13">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row>
    <row r="555" spans="1:33" ht="13">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row>
    <row r="556" spans="1:33" ht="13">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row>
    <row r="557" spans="1:33" ht="13">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row>
    <row r="558" spans="1:33" ht="13">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row>
    <row r="559" spans="1:33" ht="13">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row>
    <row r="560" spans="1:33" ht="13">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row>
    <row r="561" spans="1:33" ht="13">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row>
    <row r="562" spans="1:33" ht="13">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row>
    <row r="563" spans="1:33" ht="1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row>
    <row r="564" spans="1:33" ht="13">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row>
    <row r="565" spans="1:33" ht="13">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row>
    <row r="566" spans="1:33" ht="13">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row>
    <row r="567" spans="1:33" ht="13">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row>
    <row r="568" spans="1:33" ht="13">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row>
    <row r="569" spans="1:33" ht="13">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row>
    <row r="570" spans="1:33" ht="13">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row>
    <row r="571" spans="1:33" ht="13">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row>
    <row r="572" spans="1:33" ht="13">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row>
    <row r="573" spans="1:33" ht="1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row>
    <row r="574" spans="1:33" ht="13">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row>
    <row r="575" spans="1:33" ht="13">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row>
    <row r="576" spans="1:33" ht="13">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row>
    <row r="577" spans="1:33" ht="13">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row>
    <row r="578" spans="1:33" ht="13">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row>
    <row r="579" spans="1:33" ht="13">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row>
    <row r="580" spans="1:33" ht="13">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row>
    <row r="581" spans="1:33" ht="13">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row>
    <row r="582" spans="1:33" ht="13">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row>
    <row r="583" spans="1:33" ht="1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row>
    <row r="584" spans="1:33" ht="13">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row>
    <row r="585" spans="1:33" ht="13">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row>
    <row r="586" spans="1:33" ht="13">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row>
    <row r="587" spans="1:33" ht="13">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row>
    <row r="588" spans="1:33" ht="13">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row>
    <row r="589" spans="1:33" ht="13">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row>
    <row r="590" spans="1:33" ht="13">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row>
    <row r="591" spans="1:33" ht="13">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row>
    <row r="592" spans="1:33" ht="13">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row>
    <row r="593" spans="1:33" ht="1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row>
    <row r="594" spans="1:33" ht="13">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row>
    <row r="595" spans="1:33" ht="13">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row>
    <row r="596" spans="1:33" ht="13">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row>
    <row r="597" spans="1:33" ht="13">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row>
    <row r="598" spans="1:33" ht="13">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row>
    <row r="599" spans="1:33" ht="13">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row>
    <row r="600" spans="1:33" ht="13">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row>
    <row r="601" spans="1:33" ht="13">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row>
    <row r="602" spans="1:33" ht="13">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row>
    <row r="603" spans="1:33" ht="1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row>
    <row r="604" spans="1:33" ht="13">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row>
    <row r="605" spans="1:33" ht="13">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row>
    <row r="606" spans="1:33" ht="13">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row>
    <row r="607" spans="1:33" ht="13">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row>
    <row r="608" spans="1:33" ht="13">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row>
    <row r="609" spans="1:33" ht="13">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row>
    <row r="610" spans="1:33" ht="13">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row>
    <row r="611" spans="1:33" ht="13">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row>
    <row r="612" spans="1:33" ht="13">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row>
    <row r="613" spans="1:33" ht="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row>
    <row r="614" spans="1:33" ht="13">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row>
    <row r="615" spans="1:33" ht="13">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row>
    <row r="616" spans="1:33" ht="13">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row>
    <row r="617" spans="1:33" ht="13">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row>
    <row r="618" spans="1:33" ht="13">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row>
    <row r="619" spans="1:33" ht="13">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row>
    <row r="620" spans="1:33" ht="13">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row>
    <row r="621" spans="1:33" ht="13">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row>
    <row r="622" spans="1:33" ht="13">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row>
    <row r="623" spans="1:33" ht="1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row>
    <row r="624" spans="1:33" ht="13">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row>
    <row r="625" spans="1:33" ht="13">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row>
    <row r="626" spans="1:33" ht="13">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row>
    <row r="627" spans="1:33" ht="13">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row>
    <row r="628" spans="1:33" ht="13">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row>
    <row r="629" spans="1:33" ht="13">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row>
    <row r="630" spans="1:33" ht="13">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row>
    <row r="631" spans="1:33" ht="13">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row>
    <row r="632" spans="1:33" ht="13">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row>
    <row r="633" spans="1:33" ht="1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row>
    <row r="634" spans="1:33" ht="13">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row>
    <row r="635" spans="1:33" ht="13">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row>
    <row r="636" spans="1:33" ht="13">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row>
    <row r="637" spans="1:33" ht="13">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row>
    <row r="638" spans="1:33" ht="13">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row>
    <row r="639" spans="1:33" ht="13">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row>
    <row r="640" spans="1:33" ht="13">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row>
    <row r="641" spans="1:33" ht="13">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row>
    <row r="642" spans="1:33" ht="13">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row>
    <row r="643" spans="1:33" ht="1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row>
    <row r="644" spans="1:33" ht="13">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row>
    <row r="645" spans="1:33" ht="13">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row>
    <row r="646" spans="1:33" ht="13">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row>
    <row r="647" spans="1:33" ht="13">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row>
    <row r="648" spans="1:33" ht="13">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row>
    <row r="649" spans="1:33" ht="13">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row>
    <row r="650" spans="1:33" ht="13">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row>
    <row r="651" spans="1:33" ht="13">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row>
    <row r="652" spans="1:33" ht="13">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row>
    <row r="653" spans="1:33" ht="1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row>
    <row r="654" spans="1:33" ht="13">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row>
    <row r="655" spans="1:33" ht="13">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row>
    <row r="656" spans="1:33" ht="13">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row>
    <row r="657" spans="1:33" ht="13">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row>
    <row r="658" spans="1:33" ht="13">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row>
    <row r="659" spans="1:33" ht="13">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row>
    <row r="660" spans="1:33" ht="13">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row>
    <row r="661" spans="1:33" ht="13">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row>
    <row r="662" spans="1:33" ht="13">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row>
    <row r="663" spans="1:33" ht="1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row>
    <row r="664" spans="1:33" ht="13">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row>
    <row r="665" spans="1:33" ht="13">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row>
    <row r="666" spans="1:33" ht="13">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row>
    <row r="667" spans="1:33" ht="13">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row>
    <row r="668" spans="1:33" ht="13">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row>
    <row r="669" spans="1:33" ht="13">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row>
    <row r="670" spans="1:33" ht="13">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row>
    <row r="671" spans="1:33" ht="13">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row>
    <row r="672" spans="1:33" ht="13">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row>
    <row r="673" spans="1:33" ht="1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row>
    <row r="674" spans="1:33" ht="13">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row>
    <row r="675" spans="1:33" ht="13">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row>
    <row r="676" spans="1:33" ht="13">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row>
    <row r="677" spans="1:33" ht="13">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row>
    <row r="678" spans="1:33" ht="13">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row>
    <row r="679" spans="1:33" ht="13">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row>
    <row r="680" spans="1:33" ht="13">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row>
    <row r="681" spans="1:33" ht="13">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row>
    <row r="682" spans="1:33" ht="13">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row>
    <row r="683" spans="1:33" ht="1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row>
    <row r="684" spans="1:33" ht="13">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row>
    <row r="685" spans="1:33" ht="13">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row>
    <row r="686" spans="1:33" ht="13">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row>
    <row r="687" spans="1:33" ht="13">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row>
    <row r="688" spans="1:33" ht="13">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row>
    <row r="689" spans="1:33" ht="13">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row>
    <row r="690" spans="1:33" ht="13">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row>
    <row r="691" spans="1:33" ht="13">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row>
    <row r="692" spans="1:33" ht="13">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row>
    <row r="693" spans="1:33" ht="1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row>
    <row r="694" spans="1:33" ht="13">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row>
    <row r="695" spans="1:33" ht="13">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row>
    <row r="696" spans="1:33" ht="13">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row>
    <row r="697" spans="1:33" ht="13">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row>
    <row r="698" spans="1:33" ht="13">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row>
    <row r="699" spans="1:33" ht="13">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row>
    <row r="700" spans="1:33" ht="13">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row>
    <row r="701" spans="1:33" ht="13">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row>
    <row r="702" spans="1:33" ht="13">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row>
    <row r="703" spans="1:33" ht="1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row>
    <row r="704" spans="1:33" ht="13">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row>
    <row r="705" spans="1:33" ht="13">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row>
    <row r="706" spans="1:33" ht="13">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row>
    <row r="707" spans="1:33" ht="13">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row>
    <row r="708" spans="1:33" ht="13">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row>
    <row r="709" spans="1:33" ht="13">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row>
    <row r="710" spans="1:33" ht="13">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row>
    <row r="711" spans="1:33" ht="13">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row>
    <row r="712" spans="1:33" ht="13">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row>
    <row r="713" spans="1:33" ht="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row>
    <row r="714" spans="1:33" ht="13">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row>
    <row r="715" spans="1:33" ht="13">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row>
    <row r="716" spans="1:33" ht="13">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row>
    <row r="717" spans="1:33" ht="13">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row>
    <row r="718" spans="1:33" ht="13">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row>
    <row r="719" spans="1:33" ht="13">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row>
    <row r="720" spans="1:33" ht="13">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row>
    <row r="721" spans="1:33" ht="13">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row>
    <row r="722" spans="1:33" ht="13">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row>
    <row r="723" spans="1:33" ht="1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row>
    <row r="724" spans="1:33" ht="13">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row>
    <row r="725" spans="1:33" ht="13">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row>
    <row r="726" spans="1:33" ht="13">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row>
    <row r="727" spans="1:33" ht="13">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row>
    <row r="728" spans="1:33" ht="13">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row>
    <row r="729" spans="1:33" ht="13">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row>
    <row r="730" spans="1:33" ht="13">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row>
    <row r="731" spans="1:33" ht="13">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row>
    <row r="732" spans="1:33" ht="13">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row>
    <row r="733" spans="1:33" ht="1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row>
    <row r="734" spans="1:33" ht="13">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row>
    <row r="735" spans="1:33" ht="13">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row>
    <row r="736" spans="1:33" ht="13">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row>
    <row r="737" spans="1:33" ht="13">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row>
    <row r="738" spans="1:33" ht="13">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row>
    <row r="739" spans="1:33" ht="13">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row>
    <row r="740" spans="1:33" ht="13">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row>
    <row r="741" spans="1:33" ht="13">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row>
    <row r="742" spans="1:33" ht="13">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row>
    <row r="743" spans="1:33" ht="1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row>
    <row r="744" spans="1:33" ht="13">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row>
    <row r="745" spans="1:33" ht="13">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row>
    <row r="746" spans="1:33" ht="13">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row>
    <row r="747" spans="1:33" ht="13">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row>
    <row r="748" spans="1:33" ht="13">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row>
    <row r="749" spans="1:33" ht="13">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row>
    <row r="750" spans="1:33" ht="13">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row>
    <row r="751" spans="1:33" ht="13">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row>
    <row r="752" spans="1:33" ht="13">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row>
    <row r="753" spans="1:33" ht="1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row>
    <row r="754" spans="1:33" ht="13">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row>
    <row r="755" spans="1:33" ht="13">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row>
    <row r="756" spans="1:33" ht="13">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row>
    <row r="757" spans="1:33" ht="13">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row>
    <row r="758" spans="1:33" ht="13">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row>
    <row r="759" spans="1:33" ht="13">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row>
    <row r="760" spans="1:33" ht="13">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row>
    <row r="761" spans="1:33" ht="13">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row>
    <row r="762" spans="1:33" ht="13">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row>
    <row r="763" spans="1:33" ht="1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row>
    <row r="764" spans="1:33" ht="13">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row>
    <row r="765" spans="1:33" ht="13">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row>
    <row r="766" spans="1:33" ht="13">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row>
    <row r="767" spans="1:33" ht="13">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row>
    <row r="768" spans="1:33" ht="13">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row>
    <row r="769" spans="1:33" ht="13">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row>
    <row r="770" spans="1:33" ht="13">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row>
    <row r="771" spans="1:33" ht="13">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row>
    <row r="772" spans="1:33" ht="13">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row>
    <row r="773" spans="1:33" ht="1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row>
    <row r="774" spans="1:33" ht="13">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row>
    <row r="775" spans="1:33" ht="13">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row>
    <row r="776" spans="1:33" ht="13">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row>
    <row r="777" spans="1:33" ht="13">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row>
    <row r="778" spans="1:33" ht="13">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row>
    <row r="779" spans="1:33" ht="13">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row>
    <row r="780" spans="1:33" ht="13">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row>
    <row r="781" spans="1:33" ht="13">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row>
    <row r="782" spans="1:33" ht="13">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row>
    <row r="783" spans="1:33" ht="1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row>
    <row r="784" spans="1:33" ht="13">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row>
    <row r="785" spans="1:33" ht="13">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row>
    <row r="786" spans="1:33" ht="13">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row>
    <row r="787" spans="1:33" ht="13">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row>
    <row r="788" spans="1:33" ht="13">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row>
    <row r="789" spans="1:33" ht="13">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row>
    <row r="790" spans="1:33" ht="13">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row>
    <row r="791" spans="1:33" ht="13">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row>
    <row r="792" spans="1:33" ht="13">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row>
    <row r="793" spans="1:33" ht="1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row>
    <row r="794" spans="1:33" ht="13">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row>
    <row r="795" spans="1:33" ht="13">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row>
    <row r="796" spans="1:33" ht="13">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row>
    <row r="797" spans="1:33" ht="13">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row>
    <row r="798" spans="1:33" ht="13">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row>
    <row r="799" spans="1:33" ht="13">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row>
    <row r="800" spans="1:33" ht="13">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row>
    <row r="801" spans="1:33" ht="13">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row>
    <row r="802" spans="1:33" ht="13">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row>
    <row r="803" spans="1:33" ht="1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row>
    <row r="804" spans="1:33" ht="13">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row>
    <row r="805" spans="1:33" ht="13">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row>
    <row r="806" spans="1:33" ht="13">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row>
    <row r="807" spans="1:33" ht="13">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row>
    <row r="808" spans="1:33" ht="13">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row>
    <row r="809" spans="1:33" ht="13">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row>
    <row r="810" spans="1:33" ht="13">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row>
    <row r="811" spans="1:33" ht="13">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row>
    <row r="812" spans="1:33" ht="13">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row>
    <row r="813" spans="1:33" ht="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row>
    <row r="814" spans="1:33" ht="13">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row>
    <row r="815" spans="1:33" ht="13">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row>
    <row r="816" spans="1:33" ht="13">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row>
    <row r="817" spans="1:33" ht="13">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row>
    <row r="818" spans="1:33" ht="13">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row>
    <row r="819" spans="1:33" ht="13">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row>
    <row r="820" spans="1:33" ht="13">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row>
    <row r="821" spans="1:33" ht="13">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row>
    <row r="822" spans="1:33" ht="13">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row>
    <row r="823" spans="1:33" ht="1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row>
    <row r="824" spans="1:33" ht="13">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row>
    <row r="825" spans="1:33" ht="13">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row>
    <row r="826" spans="1:33" ht="13">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row>
    <row r="827" spans="1:33" ht="13">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row>
    <row r="828" spans="1:33" ht="13">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row>
    <row r="829" spans="1:33" ht="13">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row>
    <row r="830" spans="1:33" ht="13">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row>
    <row r="831" spans="1:33" ht="13">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row>
    <row r="832" spans="1:33" ht="13">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row>
    <row r="833" spans="1:33" ht="1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row>
    <row r="834" spans="1:33" ht="13">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row>
    <row r="835" spans="1:33" ht="13">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row>
    <row r="836" spans="1:33" ht="13">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row>
    <row r="837" spans="1:33" ht="13">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row>
    <row r="838" spans="1:33" ht="13">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row>
    <row r="839" spans="1:33" ht="13">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row>
    <row r="840" spans="1:33" ht="13">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row>
    <row r="841" spans="1:33" ht="13">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row>
    <row r="842" spans="1:33" ht="13">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row>
    <row r="843" spans="1:33" ht="1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row>
    <row r="844" spans="1:33" ht="13">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row>
    <row r="845" spans="1:33" ht="13">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row>
    <row r="846" spans="1:33" ht="13">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row>
    <row r="847" spans="1:33" ht="13">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row>
    <row r="848" spans="1:33" ht="13">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row>
    <row r="849" spans="1:33" ht="13">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row>
    <row r="850" spans="1:33" ht="13">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row>
    <row r="851" spans="1:33" ht="13">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row>
    <row r="852" spans="1:33" ht="13">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row>
    <row r="853" spans="1:33" ht="1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row>
    <row r="854" spans="1:33" ht="13">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row>
    <row r="855" spans="1:33" ht="13">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row>
    <row r="856" spans="1:33" ht="13">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row>
    <row r="857" spans="1:33" ht="13">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row>
    <row r="858" spans="1:33" ht="13">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row>
    <row r="859" spans="1:33" ht="13">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row>
    <row r="860" spans="1:33" ht="13">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row>
    <row r="861" spans="1:33" ht="13">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row>
    <row r="862" spans="1:33" ht="13">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row>
    <row r="863" spans="1:33" ht="1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row>
    <row r="864" spans="1:33" ht="13">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row>
    <row r="865" spans="1:33" ht="13">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row>
    <row r="866" spans="1:33" ht="13">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row>
    <row r="867" spans="1:33" ht="13">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row>
    <row r="868" spans="1:33" ht="13">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row>
    <row r="869" spans="1:33" ht="13">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row>
    <row r="870" spans="1:33" ht="13">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row>
    <row r="871" spans="1:33" ht="13">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row>
    <row r="872" spans="1:33" ht="13">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row>
    <row r="873" spans="1:33" ht="1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row>
    <row r="874" spans="1:33" ht="13">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row>
    <row r="875" spans="1:33" ht="13">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row>
    <row r="876" spans="1:33" ht="13">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row>
    <row r="877" spans="1:33" ht="13">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row>
    <row r="878" spans="1:33" ht="13">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row>
    <row r="879" spans="1:33" ht="13">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row>
    <row r="880" spans="1:33" ht="13">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row>
    <row r="881" spans="1:33" ht="13">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row>
    <row r="882" spans="1:33" ht="13">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row>
    <row r="883" spans="1:33" ht="1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row>
    <row r="884" spans="1:33" ht="13">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row>
    <row r="885" spans="1:33" ht="13">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row>
    <row r="886" spans="1:33" ht="13">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row>
    <row r="887" spans="1:33" ht="13">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row>
    <row r="888" spans="1:33" ht="13">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row>
    <row r="889" spans="1:33" ht="13">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row>
    <row r="890" spans="1:33" ht="13">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row>
    <row r="891" spans="1:33" ht="13">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row>
    <row r="892" spans="1:33" ht="13">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row>
    <row r="893" spans="1:33" ht="1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row>
    <row r="894" spans="1:33" ht="13">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row>
    <row r="895" spans="1:33" ht="13">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row>
    <row r="896" spans="1:33" ht="13">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row>
    <row r="897" spans="1:33" ht="13">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row>
    <row r="898" spans="1:33" ht="13">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row>
    <row r="899" spans="1:33" ht="13">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row>
    <row r="900" spans="1:33" ht="13">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row>
    <row r="901" spans="1:33" ht="13">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row>
    <row r="902" spans="1:33" ht="13">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row>
    <row r="903" spans="1:33" ht="1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row>
    <row r="904" spans="1:33" ht="13">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row>
    <row r="905" spans="1:33" ht="13">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row>
    <row r="906" spans="1:33" ht="13">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row>
    <row r="907" spans="1:33" ht="13">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row>
    <row r="908" spans="1:33" ht="13">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row>
    <row r="909" spans="1:33" ht="13">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row>
    <row r="910" spans="1:33" ht="13">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row>
    <row r="911" spans="1:33" ht="13">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row>
    <row r="912" spans="1:33" ht="13">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row>
    <row r="913" spans="1:33" ht="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row>
    <row r="914" spans="1:33" ht="13">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row>
    <row r="915" spans="1:33" ht="13">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row>
    <row r="916" spans="1:33" ht="13">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row>
    <row r="917" spans="1:33" ht="13">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row>
    <row r="918" spans="1:33" ht="13">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row>
    <row r="919" spans="1:33" ht="13">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row>
    <row r="920" spans="1:33" ht="13">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row>
    <row r="921" spans="1:33" ht="13">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row>
    <row r="922" spans="1:33" ht="13">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row>
    <row r="923" spans="1:33" ht="1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row>
    <row r="924" spans="1:33" ht="13">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row>
    <row r="925" spans="1:33" ht="13">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row>
    <row r="926" spans="1:33" ht="13">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row>
    <row r="927" spans="1:33" ht="13">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row>
    <row r="928" spans="1:33" ht="13">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row>
    <row r="929" spans="1:33" ht="13">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row>
    <row r="930" spans="1:33" ht="13">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row>
    <row r="931" spans="1:33" ht="13">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row>
    <row r="932" spans="1:33" ht="13">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row>
    <row r="933" spans="1:33" ht="1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row>
    <row r="934" spans="1:33" ht="13">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row>
    <row r="935" spans="1:33" ht="13">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row>
    <row r="936" spans="1:33" ht="13">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row>
    <row r="937" spans="1:33" ht="13">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row>
    <row r="938" spans="1:33" ht="13">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row>
    <row r="939" spans="1:33" ht="13">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row>
    <row r="940" spans="1:33" ht="13">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row>
    <row r="941" spans="1:33" ht="13">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row>
    <row r="942" spans="1:33" ht="13">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row>
    <row r="943" spans="1:33" ht="1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row>
    <row r="944" spans="1:33" ht="13">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row>
    <row r="945" spans="1:33" ht="13">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row>
    <row r="946" spans="1:33" ht="13">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row>
    <row r="947" spans="1:33" ht="13">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row>
    <row r="948" spans="1:33" ht="13">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row>
    <row r="949" spans="1:33" ht="13">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row>
    <row r="950" spans="1:33" ht="13">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row>
    <row r="951" spans="1:33" ht="13">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row>
    <row r="952" spans="1:33" ht="13">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row>
    <row r="953" spans="1:33" ht="1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row>
    <row r="954" spans="1:33" ht="13">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row>
    <row r="955" spans="1:33" ht="13">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row>
    <row r="956" spans="1:33" ht="13">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row>
    <row r="957" spans="1:33" ht="13">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row>
    <row r="958" spans="1:33" ht="13">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row>
    <row r="959" spans="1:33" ht="13">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row>
    <row r="960" spans="1:33" ht="13">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row>
    <row r="961" spans="1:33" ht="13">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row>
    <row r="962" spans="1:33" ht="13">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row>
    <row r="963" spans="1:33" ht="1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row>
    <row r="964" spans="1:33" ht="13">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row>
    <row r="965" spans="1:33" ht="13">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row>
    <row r="966" spans="1:33" ht="13">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row>
    <row r="967" spans="1:33" ht="13">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row>
    <row r="968" spans="1:33" ht="13">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row>
    <row r="969" spans="1:33" ht="13">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row>
    <row r="970" spans="1:33" ht="13">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row>
    <row r="971" spans="1:33" ht="13">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row>
    <row r="972" spans="1:33" ht="13">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row>
    <row r="973" spans="1:33" ht="1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row>
    <row r="974" spans="1:33" ht="13">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row>
    <row r="975" spans="1:33" ht="13">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row>
    <row r="976" spans="1:33" ht="13">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row>
    <row r="977" spans="1:33" ht="13">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row>
    <row r="978" spans="1:33" ht="13">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row>
    <row r="979" spans="1:33" ht="13">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row>
    <row r="980" spans="1:33" ht="13">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row>
    <row r="981" spans="1:33" ht="13">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row>
    <row r="982" spans="1:33" ht="13">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row>
    <row r="983" spans="1:33" ht="1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row>
    <row r="984" spans="1:33" ht="13">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row>
    <row r="985" spans="1:33" ht="13">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row>
    <row r="986" spans="1:33" ht="13">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row>
    <row r="987" spans="1:33" ht="13">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row>
    <row r="988" spans="1:33" ht="13">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row>
    <row r="989" spans="1:33" ht="13">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row>
    <row r="990" spans="1:33" ht="13">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row>
    <row r="991" spans="1:33" ht="13">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row>
    <row r="992" spans="1:33" ht="13">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row>
    <row r="993" spans="1:33" ht="1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row>
    <row r="994" spans="1:33" ht="13">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row>
    <row r="995" spans="1:33" ht="13">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row>
    <row r="996" spans="1:33" ht="13">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row>
    <row r="997" spans="1:33" ht="13">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row>
    <row r="998" spans="1:33" ht="13">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row>
    <row r="999" spans="1:33" ht="13">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row>
    <row r="1000" spans="1:33" ht="13">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row>
    <row r="1001" spans="1:33" ht="13">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row>
    <row r="1002" spans="1:33" ht="13">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c r="AE1002" s="18"/>
      <c r="AF1002" s="18"/>
      <c r="AG1002" s="18"/>
    </row>
    <row r="1003" spans="1:33" ht="1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c r="AF1003" s="18"/>
      <c r="AG1003" s="18"/>
    </row>
    <row r="1004" spans="1:33" ht="13">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c r="AE1004" s="18"/>
      <c r="AF1004" s="18"/>
      <c r="AG1004" s="18"/>
    </row>
    <row r="1005" spans="1:33" ht="13">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c r="AE1005" s="18"/>
      <c r="AF1005" s="18"/>
      <c r="AG1005" s="18"/>
    </row>
    <row r="1006" spans="1:33" ht="13">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c r="AE1006" s="18"/>
      <c r="AF1006" s="18"/>
      <c r="AG1006" s="18"/>
    </row>
    <row r="1007" spans="1:33" ht="13">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8"/>
      <c r="AE1007" s="18"/>
      <c r="AF1007" s="18"/>
      <c r="AG1007" s="18"/>
    </row>
    <row r="1008" spans="1:33" ht="13">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c r="AD1008" s="18"/>
      <c r="AE1008" s="18"/>
      <c r="AF1008" s="18"/>
      <c r="AG1008" s="18"/>
    </row>
    <row r="1009" spans="1:33" ht="13">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c r="AD1009" s="18"/>
      <c r="AE1009" s="18"/>
      <c r="AF1009" s="18"/>
      <c r="AG1009" s="18"/>
    </row>
    <row r="1010" spans="1:33" ht="13">
      <c r="A1010" s="18"/>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c r="AC1010" s="18"/>
      <c r="AD1010" s="18"/>
      <c r="AE1010" s="18"/>
      <c r="AF1010" s="18"/>
      <c r="AG1010" s="18"/>
    </row>
    <row r="1011" spans="1:33" ht="13">
      <c r="A1011" s="18"/>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c r="AC1011" s="18"/>
      <c r="AD1011" s="18"/>
      <c r="AE1011" s="18"/>
      <c r="AF1011" s="18"/>
      <c r="AG1011" s="18"/>
    </row>
    <row r="1012" spans="1:33" ht="13">
      <c r="A1012" s="18"/>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c r="AC1012" s="18"/>
      <c r="AD1012" s="18"/>
      <c r="AE1012" s="18"/>
      <c r="AF1012" s="18"/>
      <c r="AG1012" s="18"/>
    </row>
    <row r="1013" spans="1:33" ht="13">
      <c r="A1013" s="18"/>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c r="AC1013" s="18"/>
      <c r="AD1013" s="18"/>
      <c r="AE1013" s="18"/>
      <c r="AF1013" s="18"/>
      <c r="AG1013" s="18"/>
    </row>
    <row r="1014" spans="1:33" ht="13">
      <c r="A1014" s="18"/>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c r="AC1014" s="18"/>
      <c r="AD1014" s="18"/>
      <c r="AE1014" s="18"/>
      <c r="AF1014" s="18"/>
      <c r="AG1014" s="18"/>
    </row>
    <row r="1015" spans="1:33" ht="13">
      <c r="A1015" s="18"/>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c r="AC1015" s="18"/>
      <c r="AD1015" s="18"/>
      <c r="AE1015" s="18"/>
      <c r="AF1015" s="18"/>
      <c r="AG1015" s="18"/>
    </row>
    <row r="1016" spans="1:33" ht="13">
      <c r="A1016" s="18"/>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c r="AC1016" s="18"/>
      <c r="AD1016" s="18"/>
      <c r="AE1016" s="18"/>
      <c r="AF1016" s="18"/>
      <c r="AG1016" s="18"/>
    </row>
    <row r="1017" spans="1:33" ht="13">
      <c r="A1017" s="18"/>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c r="AC1017" s="18"/>
      <c r="AD1017" s="18"/>
      <c r="AE1017" s="18"/>
      <c r="AF1017" s="18"/>
      <c r="AG1017" s="18"/>
    </row>
    <row r="1018" spans="1:33" ht="13">
      <c r="A1018" s="18"/>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c r="AC1018" s="18"/>
      <c r="AD1018" s="18"/>
      <c r="AE1018" s="18"/>
      <c r="AF1018" s="18"/>
      <c r="AG1018" s="18"/>
    </row>
    <row r="1019" spans="1:33" ht="13">
      <c r="A1019" s="18"/>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c r="AC1019" s="18"/>
      <c r="AD1019" s="18"/>
      <c r="AE1019" s="18"/>
      <c r="AF1019" s="18"/>
      <c r="AG1019" s="18"/>
    </row>
    <row r="1020" spans="1:33" ht="13">
      <c r="A1020" s="18"/>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c r="AC1020" s="18"/>
      <c r="AD1020" s="18"/>
      <c r="AE1020" s="18"/>
      <c r="AF1020" s="18"/>
      <c r="AG1020" s="18"/>
    </row>
    <row r="1021" spans="1:33" ht="13">
      <c r="A1021" s="18"/>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c r="AB1021" s="18"/>
      <c r="AC1021" s="18"/>
      <c r="AD1021" s="18"/>
      <c r="AE1021" s="18"/>
      <c r="AF1021" s="18"/>
      <c r="AG1021" s="18"/>
    </row>
    <row r="1022" spans="1:33" ht="13">
      <c r="A1022" s="18"/>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c r="AC1022" s="18"/>
      <c r="AD1022" s="18"/>
      <c r="AE1022" s="18"/>
      <c r="AF1022" s="18"/>
      <c r="AG1022" s="18"/>
    </row>
    <row r="1023" spans="1:33" ht="13">
      <c r="A1023" s="18"/>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8"/>
      <c r="AB1023" s="18"/>
      <c r="AC1023" s="18"/>
      <c r="AD1023" s="18"/>
      <c r="AE1023" s="18"/>
      <c r="AF1023" s="18"/>
      <c r="AG1023" s="18"/>
    </row>
    <row r="1024" spans="1:33" ht="13">
      <c r="A1024" s="18"/>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8"/>
      <c r="AB1024" s="18"/>
      <c r="AC1024" s="18"/>
      <c r="AD1024" s="18"/>
      <c r="AE1024" s="18"/>
      <c r="AF1024" s="18"/>
      <c r="AG1024" s="18"/>
    </row>
    <row r="1025" spans="1:33" ht="13">
      <c r="A1025" s="18"/>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c r="AC1025" s="18"/>
      <c r="AD1025" s="18"/>
      <c r="AE1025" s="18"/>
      <c r="AF1025" s="18"/>
      <c r="AG1025" s="18"/>
    </row>
    <row r="1026" spans="1:33" ht="13">
      <c r="A1026" s="18"/>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c r="AC1026" s="18"/>
      <c r="AD1026" s="18"/>
      <c r="AE1026" s="18"/>
      <c r="AF1026" s="18"/>
      <c r="AG1026" s="18"/>
    </row>
    <row r="1027" spans="1:33" ht="13">
      <c r="A1027" s="18"/>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c r="AC1027" s="18"/>
      <c r="AD1027" s="18"/>
      <c r="AE1027" s="18"/>
      <c r="AF1027" s="18"/>
      <c r="AG1027" s="18"/>
    </row>
    <row r="1028" spans="1:33" ht="13">
      <c r="A1028" s="18"/>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8"/>
      <c r="AB1028" s="18"/>
      <c r="AC1028" s="18"/>
      <c r="AD1028" s="18"/>
      <c r="AE1028" s="18"/>
      <c r="AF1028" s="18"/>
      <c r="AG1028" s="18"/>
    </row>
    <row r="1029" spans="1:33" ht="13">
      <c r="A1029" s="18"/>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c r="AC1029" s="18"/>
      <c r="AD1029" s="18"/>
      <c r="AE1029" s="18"/>
      <c r="AF1029" s="18"/>
      <c r="AG1029" s="18"/>
    </row>
    <row r="1030" spans="1:33" ht="13">
      <c r="A1030" s="18"/>
      <c r="B1030" s="18"/>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c r="AC1030" s="18"/>
      <c r="AD1030" s="18"/>
      <c r="AE1030" s="18"/>
      <c r="AF1030" s="18"/>
      <c r="AG1030" s="18"/>
    </row>
    <row r="1031" spans="1:33" ht="13">
      <c r="A1031" s="18"/>
      <c r="B1031" s="18"/>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c r="AC1031" s="18"/>
      <c r="AD1031" s="18"/>
      <c r="AE1031" s="18"/>
      <c r="AF1031" s="18"/>
      <c r="AG1031" s="18"/>
    </row>
    <row r="1032" spans="1:33" ht="13">
      <c r="A1032" s="18"/>
      <c r="B1032" s="18"/>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c r="AA1032" s="18"/>
      <c r="AB1032" s="18"/>
      <c r="AC1032" s="18"/>
      <c r="AD1032" s="18"/>
      <c r="AE1032" s="18"/>
      <c r="AF1032" s="18"/>
      <c r="AG1032" s="18"/>
    </row>
  </sheetData>
  <mergeCells count="3">
    <mergeCell ref="A76:B76"/>
    <mergeCell ref="A77:B77"/>
    <mergeCell ref="A78:B78"/>
  </mergeCells>
  <hyperlinks>
    <hyperlink ref="J32" r:id="rId1" xr:uid="{00000000-0004-0000-1C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Template sheet</vt:lpstr>
      <vt:lpstr>extra FBB SME interview</vt:lpstr>
      <vt:lpstr>EmergConnect</vt:lpstr>
      <vt:lpstr>Cloudshelf - Updated</vt:lpstr>
      <vt:lpstr>Sparkinity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Mia Chen</cp:lastModifiedBy>
  <dcterms:modified xsi:type="dcterms:W3CDTF">2025-12-31T08:34:48Z</dcterms:modified>
</cp:coreProperties>
</file>