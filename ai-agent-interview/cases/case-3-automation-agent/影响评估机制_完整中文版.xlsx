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580" tabRatio="600" firstSheet="0" activeTab="4" autoFilterDateGrouping="1"/>
  </bookViews>
  <sheets>
    <sheet xmlns:r="http://schemas.openxmlformats.org/officeDocument/2006/relationships" name="Template sheet" sheetId="1" state="visible" r:id="rId1"/>
    <sheet xmlns:r="http://schemas.openxmlformats.org/officeDocument/2006/relationships" name="extra FBB SME interview" sheetId="2" state="hidden" r:id="rId2"/>
    <sheet xmlns:r="http://schemas.openxmlformats.org/officeDocument/2006/relationships" name="EmergConnect" sheetId="3" state="visible" r:id="rId3"/>
    <sheet xmlns:r="http://schemas.openxmlformats.org/officeDocument/2006/relationships" name="Cloudshelf - Updated" sheetId="4" state="visible" r:id="rId4"/>
    <sheet xmlns:r="http://schemas.openxmlformats.org/officeDocument/2006/relationships" name="公司B" sheetId="5" state="visible" r:id="rId5"/>
  </sheets>
  <definedNames/>
  <calcPr calcId="191029" fullCalcOnLoad="1"/>
</workbook>
</file>

<file path=xl/styles.xml><?xml version="1.0" encoding="utf-8"?>
<styleSheet xmlns="http://schemas.openxmlformats.org/spreadsheetml/2006/main">
  <numFmts count="3">
    <numFmt numFmtId="164" formatCode="&quot;$&quot;#,##0"/>
    <numFmt numFmtId="165" formatCode="&quot;$&quot;#,##0.00"/>
    <numFmt numFmtId="166" formatCode="_(&quot;$&quot;* #,##0.00_);_(&quot;$&quot;* \(#,##0.00\);_(&quot;$&quot;* &quot;-&quot;??_);_(@_)"/>
  </numFmts>
  <fonts count="20">
    <font>
      <name val="Arial"/>
      <color rgb="FF000000"/>
      <sz val="10"/>
      <scheme val="minor"/>
    </font>
    <font>
      <name val="Arial"/>
      <family val="2"/>
      <color theme="1"/>
      <sz val="10"/>
      <scheme val="minor"/>
    </font>
    <font>
      <name val="Arial"/>
      <family val="2"/>
      <color rgb="FF000000"/>
      <sz val="10"/>
      <scheme val="minor"/>
    </font>
    <font>
      <name val="Arial"/>
      <family val="2"/>
      <b val="1"/>
      <color theme="1"/>
      <sz val="10"/>
      <scheme val="minor"/>
    </font>
    <font>
      <name val="Arial"/>
      <family val="2"/>
      <strike val="1"/>
      <color theme="1"/>
      <sz val="10"/>
      <scheme val="minor"/>
    </font>
    <font>
      <name val="Arial"/>
      <family val="2"/>
      <color theme="1"/>
      <sz val="10"/>
    </font>
    <font>
      <name val="Arial"/>
      <family val="2"/>
      <i val="1"/>
      <color theme="1"/>
      <sz val="10"/>
    </font>
    <font>
      <name val="Arial"/>
      <family val="2"/>
      <b val="1"/>
      <color rgb="FFFFFFFF"/>
      <sz val="10"/>
    </font>
    <font>
      <name val="Arial"/>
      <family val="2"/>
      <sz val="10"/>
    </font>
    <font>
      <name val="Arial"/>
      <family val="2"/>
      <color rgb="FF000000"/>
      <sz val="12"/>
      <scheme val="minor"/>
    </font>
    <font>
      <name val="Arial"/>
      <family val="2"/>
      <color rgb="FF000000"/>
      <sz val="12"/>
      <u val="single"/>
    </font>
    <font>
      <name val="Arial"/>
      <family val="2"/>
      <b val="1"/>
      <color rgb="FF000000"/>
      <sz val="10"/>
      <scheme val="minor"/>
    </font>
    <font>
      <name val="&quot;Times New Roman&quot;"/>
      <color rgb="FF000000"/>
      <sz val="12"/>
    </font>
    <font>
      <name val="Arial"/>
      <family val="2"/>
      <color rgb="FF000000"/>
      <sz val="12"/>
    </font>
    <font>
      <name val="Arial"/>
      <family val="2"/>
      <color theme="1"/>
      <sz val="14"/>
    </font>
    <font>
      <name val="Calibri"/>
      <family val="2"/>
      <color rgb="FF000000"/>
      <sz val="11"/>
    </font>
    <font>
      <name val="&quot;Helvetica Neue&quot;"/>
      <b val="1"/>
      <color rgb="FF000000"/>
      <sz val="8"/>
    </font>
    <font>
      <name val="&quot;Helvetica Neue&quot;"/>
      <color rgb="FF000000"/>
      <sz val="8"/>
    </font>
    <font>
      <name val="Calibri"/>
      <family val="2"/>
      <b val="1"/>
      <color rgb="FF000000"/>
      <sz val="11"/>
    </font>
    <font>
      <name val="Arial"/>
      <family val="2"/>
      <color rgb="FF1155CC"/>
      <sz val="12"/>
      <u val="single"/>
    </font>
  </fonts>
  <fills count="16">
    <fill>
      <patternFill/>
    </fill>
    <fill>
      <patternFill patternType="gray125"/>
    </fill>
    <fill>
      <patternFill patternType="solid">
        <fgColor rgb="FFA4C2F4"/>
        <bgColor rgb="FFA4C2F4"/>
      </patternFill>
    </fill>
    <fill>
      <patternFill patternType="solid">
        <fgColor rgb="FFFFFFFF"/>
        <bgColor rgb="FFFFFFFF"/>
      </patternFill>
    </fill>
    <fill>
      <patternFill patternType="solid">
        <fgColor rgb="FFC9DAF8"/>
        <bgColor rgb="FFC9DAF8"/>
      </patternFill>
    </fill>
    <fill>
      <patternFill patternType="solid">
        <fgColor rgb="FFE6B8AF"/>
        <bgColor rgb="FFE6B8AF"/>
      </patternFill>
    </fill>
    <fill>
      <patternFill patternType="solid">
        <fgColor rgb="FF3C78D8"/>
        <bgColor rgb="FF3C78D8"/>
      </patternFill>
    </fill>
    <fill>
      <patternFill patternType="solid">
        <fgColor rgb="FF6D9EEB"/>
        <bgColor rgb="FF6D9EEB"/>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674EA7"/>
        <bgColor rgb="FF674EA7"/>
      </patternFill>
    </fill>
    <fill>
      <patternFill patternType="solid">
        <fgColor rgb="FFB4A7D6"/>
        <bgColor rgb="FFB4A7D6"/>
      </patternFill>
    </fill>
    <fill>
      <patternFill patternType="solid">
        <fgColor rgb="FFB45F06"/>
        <bgColor rgb="FFB45F06"/>
      </patternFill>
    </fill>
    <fill>
      <patternFill patternType="solid">
        <fgColor rgb="FFE69138"/>
        <bgColor rgb="FFE69138"/>
      </patternFill>
    </fill>
    <fill>
      <patternFill patternType="solid">
        <fgColor rgb="FFF9CB9C"/>
        <bgColor rgb="FFF9CB9C"/>
      </patternFill>
    </fill>
  </fills>
  <borders count="6">
    <border>
      <left/>
      <right/>
      <top/>
      <bottom/>
      <diagonal/>
    </border>
    <border>
      <left/>
      <right/>
      <top/>
      <bottom style="thin">
        <color rgb="FF000000"/>
      </bottom>
      <diagonal/>
    </border>
    <border>
      <left/>
      <right/>
      <top style="thin">
        <color rgb="FF000000"/>
      </top>
      <bottom/>
      <diagonal/>
    </border>
    <border>
      <left/>
      <right/>
      <top style="dotted">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2" fillId="0" borderId="0" pivotButton="0" quotePrefix="0" xfId="0"/>
    <xf numFmtId="0" fontId="1" fillId="0" borderId="0" pivotButton="0" quotePrefix="0" xfId="0"/>
    <xf numFmtId="2" fontId="1" fillId="0" borderId="0" pivotButton="0" quotePrefix="0" xfId="0"/>
    <xf numFmtId="0" fontId="1" fillId="5" borderId="0" pivotButton="0" quotePrefix="0" xfId="0"/>
    <xf numFmtId="0" fontId="3" fillId="2" borderId="0" pivotButton="0" quotePrefix="0" xfId="0"/>
    <xf numFmtId="1" fontId="1" fillId="0" borderId="0" pivotButton="0" quotePrefix="0" xfId="0"/>
    <xf numFmtId="1" fontId="1" fillId="3" borderId="0" pivotButton="0" quotePrefix="0" xfId="0"/>
    <xf numFmtId="0" fontId="3" fillId="0" borderId="0" pivotButton="0" quotePrefix="0" xfId="0"/>
    <xf numFmtId="0" fontId="3" fillId="3" borderId="0" pivotButton="0" quotePrefix="0" xfId="0"/>
    <xf numFmtId="2" fontId="1" fillId="3" borderId="0" pivotButton="0" quotePrefix="0" xfId="0"/>
    <xf numFmtId="0" fontId="4" fillId="3" borderId="0" pivotButton="0" quotePrefix="0" xfId="0"/>
    <xf numFmtId="0" fontId="4" fillId="2" borderId="0" pivotButton="0" quotePrefix="0" xfId="0"/>
    <xf numFmtId="1" fontId="1" fillId="0" borderId="1" pivotButton="0" quotePrefix="0" xfId="0"/>
    <xf numFmtId="0" fontId="1" fillId="0" borderId="1" pivotButton="0" quotePrefix="0" xfId="0"/>
    <xf numFmtId="0" fontId="5" fillId="0" borderId="0" pivotButton="0" quotePrefix="0" xfId="0"/>
    <xf numFmtId="10" fontId="1" fillId="3" borderId="0" pivotButton="0" quotePrefix="0" xfId="0"/>
    <xf numFmtId="0" fontId="5" fillId="3" borderId="0" pivotButton="0" quotePrefix="0" xfId="0"/>
    <xf numFmtId="10" fontId="1" fillId="0" borderId="1" pivotButton="0" quotePrefix="0" xfId="0"/>
    <xf numFmtId="10" fontId="1" fillId="0" borderId="0" pivotButton="0" quotePrefix="0" xfId="0"/>
    <xf numFmtId="164" fontId="2" fillId="0" borderId="0" pivotButton="0" quotePrefix="0" xfId="0"/>
    <xf numFmtId="0" fontId="5" fillId="4" borderId="0" pivotButton="0" quotePrefix="0" xfId="0"/>
    <xf numFmtId="1" fontId="5" fillId="0" borderId="0" pivotButton="0" quotePrefix="0" xfId="0"/>
    <xf numFmtId="0" fontId="6" fillId="3" borderId="0" pivotButton="0" quotePrefix="0" xfId="0"/>
    <xf numFmtId="1" fontId="6" fillId="3" borderId="0" pivotButton="0" quotePrefix="0" xfId="0"/>
    <xf numFmtId="1" fontId="5" fillId="3" borderId="0" pivotButton="0" quotePrefix="0" xfId="0"/>
    <xf numFmtId="0" fontId="6" fillId="0" borderId="0" pivotButton="0" quotePrefix="0" xfId="0"/>
    <xf numFmtId="1" fontId="6" fillId="0" borderId="0" pivotButton="0" quotePrefix="0" xfId="0"/>
    <xf numFmtId="0" fontId="5" fillId="3" borderId="0" applyAlignment="1" pivotButton="0" quotePrefix="0" xfId="0">
      <alignment horizontal="right"/>
    </xf>
    <xf numFmtId="0" fontId="5" fillId="0" borderId="0" applyAlignment="1" pivotButton="0" quotePrefix="0" xfId="0">
      <alignment horizontal="right"/>
    </xf>
    <xf numFmtId="2" fontId="5" fillId="0" borderId="0" pivotButton="0" quotePrefix="0" xfId="0"/>
    <xf numFmtId="10" fontId="5" fillId="0" borderId="0" pivotButton="0" quotePrefix="0" xfId="0"/>
    <xf numFmtId="165" fontId="5" fillId="0" borderId="0" pivotButton="0" quotePrefix="0" xfId="0"/>
    <xf numFmtId="0" fontId="7" fillId="6" borderId="0" pivotButton="0" quotePrefix="0" xfId="0"/>
    <xf numFmtId="0" fontId="5" fillId="7" borderId="0" pivotButton="0" quotePrefix="0" xfId="0"/>
    <xf numFmtId="0" fontId="7" fillId="8" borderId="2" pivotButton="0" quotePrefix="0" xfId="0"/>
    <xf numFmtId="0" fontId="5" fillId="9" borderId="0" pivotButton="0" quotePrefix="0" xfId="0"/>
    <xf numFmtId="0" fontId="5" fillId="10" borderId="0" pivotButton="0" quotePrefix="0" xfId="0"/>
    <xf numFmtId="0" fontId="7" fillId="11" borderId="2" pivotButton="0" quotePrefix="0" xfId="0"/>
    <xf numFmtId="0" fontId="1" fillId="12" borderId="0" pivotButton="0" quotePrefix="0" xfId="0"/>
    <xf numFmtId="0" fontId="7" fillId="13" borderId="0" pivotButton="0" quotePrefix="0" xfId="0"/>
    <xf numFmtId="0" fontId="3" fillId="14" borderId="0" pivotButton="0" quotePrefix="0" xfId="0"/>
    <xf numFmtId="0" fontId="1" fillId="14" borderId="0" pivotButton="0" quotePrefix="0" xfId="0"/>
    <xf numFmtId="0" fontId="5" fillId="15" borderId="0" pivotButton="0" quotePrefix="0" xfId="0"/>
    <xf numFmtId="2" fontId="5" fillId="15" borderId="0" pivotButton="0" quotePrefix="0" xfId="0"/>
    <xf numFmtId="10" fontId="5" fillId="15" borderId="0" pivotButton="0" quotePrefix="0" xfId="0"/>
    <xf numFmtId="0" fontId="5" fillId="0" borderId="3" pivotButton="0" quotePrefix="0" xfId="0"/>
    <xf numFmtId="2" fontId="5" fillId="0" borderId="3" pivotButton="0" quotePrefix="0" xfId="0"/>
    <xf numFmtId="10" fontId="5" fillId="0" borderId="3" pivotButton="0" quotePrefix="0" xfId="0"/>
    <xf numFmtId="0" fontId="3" fillId="7" borderId="0" pivotButton="0" quotePrefix="0" xfId="0"/>
    <xf numFmtId="0" fontId="1" fillId="7" borderId="0" pivotButton="0" quotePrefix="0" xfId="0"/>
    <xf numFmtId="0" fontId="9" fillId="0" borderId="0" pivotButton="0" quotePrefix="0" xfId="0"/>
    <xf numFmtId="0" fontId="10" fillId="0" borderId="0" pivotButton="0" quotePrefix="0" xfId="0"/>
    <xf numFmtId="0" fontId="12" fillId="0" borderId="0" pivotButton="0" quotePrefix="0" xfId="0"/>
    <xf numFmtId="1" fontId="9" fillId="0" borderId="0" pivotButton="0" quotePrefix="0" xfId="0"/>
    <xf numFmtId="0" fontId="14" fillId="3" borderId="0" pivotButton="0" quotePrefix="0" xfId="0"/>
    <xf numFmtId="3" fontId="2" fillId="0" borderId="0" pivotButton="0" quotePrefix="0" xfId="0"/>
    <xf numFmtId="0" fontId="11" fillId="0" borderId="0" applyAlignment="1" pivotButton="0" quotePrefix="0" xfId="0">
      <alignment horizontal="center"/>
    </xf>
    <xf numFmtId="165" fontId="2" fillId="0" borderId="0" pivotButton="0" quotePrefix="0" xfId="0"/>
    <xf numFmtId="0" fontId="15" fillId="0" borderId="0" pivotButton="0" quotePrefix="0" xfId="0"/>
    <xf numFmtId="0" fontId="16" fillId="3" borderId="4" applyAlignment="1" pivotButton="0" quotePrefix="0" xfId="0">
      <alignment vertical="top"/>
    </xf>
    <xf numFmtId="0" fontId="17" fillId="0" borderId="4" applyAlignment="1" pivotButton="0" quotePrefix="0" xfId="0">
      <alignment vertical="top"/>
    </xf>
    <xf numFmtId="166" fontId="5" fillId="3" borderId="0" pivotButton="0" quotePrefix="0" xfId="0"/>
    <xf numFmtId="0" fontId="18" fillId="0" borderId="4" applyAlignment="1" pivotButton="0" quotePrefix="0" xfId="0">
      <alignment horizontal="center" vertical="top"/>
    </xf>
    <xf numFmtId="0" fontId="18" fillId="0" borderId="5" applyAlignment="1" pivotButton="0" quotePrefix="0" xfId="0">
      <alignment horizontal="center" vertical="top"/>
    </xf>
    <xf numFmtId="164" fontId="17" fillId="0" borderId="4" applyAlignment="1" pivotButton="0" quotePrefix="0" xfId="0">
      <alignment vertical="top"/>
    </xf>
    <xf numFmtId="164" fontId="16" fillId="3" borderId="4" applyAlignment="1" pivotButton="0" quotePrefix="0" xfId="0">
      <alignment vertical="top"/>
    </xf>
    <xf numFmtId="4" fontId="1" fillId="3" borderId="0" pivotButton="0" quotePrefix="0" xfId="0"/>
    <xf numFmtId="0" fontId="5" fillId="3" borderId="3" applyAlignment="1" pivotButton="0" quotePrefix="0" xfId="0">
      <alignment horizontal="right"/>
    </xf>
    <xf numFmtId="0" fontId="8" fillId="0" borderId="3" pivotButton="0" quotePrefix="0" xfId="0"/>
    <xf numFmtId="0" fontId="5" fillId="3" borderId="0" applyAlignment="1" pivotButton="0" quotePrefix="0" xfId="0">
      <alignment horizontal="right"/>
    </xf>
    <xf numFmtId="0" fontId="0" fillId="0" borderId="0" pivotButton="0" quotePrefix="0" xfId="0"/>
    <xf numFmtId="0" fontId="1" fillId="3" borderId="0" applyAlignment="1" pivotButton="0" quotePrefix="0" xfId="0">
      <alignment horizontal="right"/>
    </xf>
    <xf numFmtId="0" fontId="1" fillId="3" borderId="0" applyAlignment="1" pivotButton="0" quotePrefix="0" xfId="0">
      <alignment horizontal="center" vertical="center"/>
    </xf>
    <xf numFmtId="0" fontId="0" fillId="0" borderId="3" pivotButton="0" quotePrefix="0" xfId="0"/>
    <xf numFmtId="165" fontId="5" fillId="0" borderId="0" pivotButton="0" quotePrefix="0" xfId="0"/>
    <xf numFmtId="164" fontId="2" fillId="0" borderId="0" pivotButton="0" quotePrefix="0" xfId="0"/>
    <xf numFmtId="166" fontId="5" fillId="3" borderId="0" pivotButton="0" quotePrefix="0" xfId="0"/>
    <xf numFmtId="165" fontId="2" fillId="0" borderId="0" pivotButton="0" quotePrefix="0" xfId="0"/>
    <xf numFmtId="164" fontId="17" fillId="0" borderId="4" applyAlignment="1" pivotButton="0" quotePrefix="0" xfId="0">
      <alignment vertical="top"/>
    </xf>
    <xf numFmtId="164" fontId="16" fillId="3" borderId="4"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businessconsultingagency.com/understanding-business-startup-costs/?utm_source=chatgpt.com" TargetMode="External" Id="rId1"/></Relationships>
</file>

<file path=xl/worksheets/sheet1.xml><?xml version="1.0" encoding="utf-8"?>
<worksheet xmlns="http://schemas.openxmlformats.org/spreadsheetml/2006/main">
  <sheetPr>
    <outlinePr summaryBelow="0" summaryRight="0"/>
    <pageSetUpPr/>
  </sheetPr>
  <dimension ref="A1:AG1009"/>
  <sheetViews>
    <sheetView workbookViewId="0">
      <selection activeCell="B27" sqref="B27"/>
    </sheetView>
  </sheetViews>
  <sheetFormatPr baseColWidth="10" defaultColWidth="12.6640625" defaultRowHeight="15.75" customHeight="1"/>
  <cols>
    <col width="17.33203125" customWidth="1" style="74" min="1" max="1"/>
    <col width="46.1640625" customWidth="1" style="74" min="2" max="2"/>
    <col width="21.1640625" customWidth="1" style="74" min="3" max="3"/>
    <col width="13.6640625" customWidth="1" style="74" min="5" max="5"/>
  </cols>
  <sheetData>
    <row r="1" ht="13" customHeight="1" s="74">
      <c r="A1" s="36" t="inlineStr">
        <is>
          <t>SECTION I</t>
        </is>
      </c>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c r="AF1" s="36" t="n"/>
      <c r="AG1" s="36" t="n"/>
    </row>
    <row r="2" ht="13" customHeight="1" s="74">
      <c r="A2" s="37" t="inlineStr">
        <is>
          <t>关键信息</t>
        </is>
      </c>
      <c r="B2" s="37" t="n"/>
      <c r="C2" s="37" t="n"/>
      <c r="D2" s="37" t="n"/>
      <c r="E2" s="37"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37" t="n"/>
      <c r="AD2" s="37" t="n"/>
      <c r="AE2" s="37" t="n"/>
      <c r="AF2" s="37" t="n"/>
      <c r="AG2" s="37" t="n"/>
    </row>
    <row r="3" ht="13" customHeight="1" s="74">
      <c r="A3" s="24" t="inlineStr">
        <is>
          <t>解决的可持续发展目标：</t>
        </is>
      </c>
      <c r="B3" s="24"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c r="AA3" s="24" t="n"/>
      <c r="AB3" s="24" t="n"/>
      <c r="AC3" s="24" t="n"/>
      <c r="AD3" s="24" t="n"/>
      <c r="AE3" s="24" t="n"/>
      <c r="AF3" s="24" t="n"/>
      <c r="AG3" s="24" t="n"/>
    </row>
    <row r="4" ht="13" customHeight="1" s="74">
      <c r="A4" s="24" t="inlineStr">
        <is>
          <t>Vertical:</t>
        </is>
      </c>
      <c r="B4" s="24"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row>
    <row r="5" ht="13" customHeight="1" s="74">
      <c r="A5" s="24" t="inlineStr">
        <is>
          <t>替代情景：</t>
        </is>
      </c>
      <c r="B5" s="24"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row>
    <row r="6" ht="13" customHeight="1" s="74">
      <c r="A6" s="20" t="n"/>
      <c r="B6" s="20" t="n"/>
      <c r="C6" s="20" t="n"/>
      <c r="D6" s="20" t="n"/>
      <c r="E6" s="20" t="n"/>
      <c r="F6" s="20" t="n"/>
      <c r="G6" s="20" t="n"/>
      <c r="H6" s="20" t="n"/>
      <c r="I6" s="20" t="n"/>
      <c r="J6" s="20" t="n"/>
      <c r="K6" s="20" t="n"/>
      <c r="L6" s="20" t="n"/>
      <c r="M6" s="20" t="n"/>
      <c r="N6" s="20" t="n"/>
      <c r="O6" s="20" t="n"/>
      <c r="P6" s="20" t="n"/>
      <c r="Q6" s="20" t="n"/>
      <c r="R6" s="20" t="n"/>
      <c r="S6" s="20" t="n"/>
      <c r="T6" s="20" t="n"/>
      <c r="U6" s="20" t="n"/>
      <c r="V6" s="20" t="n"/>
      <c r="W6" s="20" t="n"/>
      <c r="X6" s="20" t="n"/>
      <c r="Y6" s="20" t="n"/>
      <c r="Z6" s="20" t="n"/>
      <c r="AA6" s="20" t="n"/>
      <c r="AB6" s="20" t="n"/>
      <c r="AC6" s="20" t="n"/>
      <c r="AD6" s="20" t="n"/>
      <c r="AE6" s="20" t="n"/>
      <c r="AF6" s="20" t="n"/>
      <c r="AG6" s="20" t="n"/>
    </row>
    <row r="7" ht="13" customHeight="1" s="74">
      <c r="A7" s="37" t="inlineStr">
        <is>
          <t>利益相关者</t>
        </is>
      </c>
      <c r="B7" s="37" t="inlineStr">
        <is>
          <t>解释：谁，什么，与投资组合公司的关系性质</t>
        </is>
      </c>
      <c r="C7" s="37" t="n"/>
      <c r="D7" s="37" t="n"/>
      <c r="E7" s="37" t="n"/>
      <c r="F7" s="37" t="n"/>
      <c r="G7" s="37" t="n"/>
      <c r="H7" s="37" t="n"/>
      <c r="I7" s="37" t="n"/>
      <c r="J7" s="37" t="n"/>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row>
    <row r="8" ht="13" customHeight="1" s="74">
      <c r="A8" s="20" t="n"/>
      <c r="B8" s="20" t="n"/>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c r="AA8" s="20" t="n"/>
      <c r="AB8" s="20" t="n"/>
      <c r="AC8" s="20" t="n"/>
      <c r="AD8" s="20" t="n"/>
      <c r="AE8" s="20" t="n"/>
      <c r="AF8" s="20" t="n"/>
      <c r="AG8" s="20" t="n"/>
    </row>
    <row r="9" ht="13" customHeight="1" s="74">
      <c r="B9" s="20" t="n"/>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c r="AA9" s="20" t="n"/>
      <c r="AB9" s="20" t="n"/>
      <c r="AC9" s="20" t="n"/>
      <c r="AD9" s="20" t="n"/>
      <c r="AE9" s="20" t="n"/>
      <c r="AF9" s="20" t="n"/>
      <c r="AG9" s="20" t="n"/>
    </row>
    <row r="10" ht="13" customHeight="1" s="74">
      <c r="B10" s="20" t="n"/>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row>
    <row r="11" ht="13" customHeight="1" s="74">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row>
    <row r="12" ht="13" customHeight="1" s="74">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row>
    <row r="13" ht="13" customHeight="1" s="74">
      <c r="A13" s="38" t="inlineStr">
        <is>
          <t>SECTION II</t>
        </is>
      </c>
      <c r="B13" s="38" t="n"/>
      <c r="C13" s="38" t="n"/>
      <c r="D13" s="38" t="n"/>
      <c r="E13" s="38" t="n"/>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c r="AA13" s="38" t="n"/>
      <c r="AB13" s="38" t="n"/>
      <c r="AC13" s="38" t="n"/>
      <c r="AD13" s="38" t="n"/>
      <c r="AE13" s="38" t="n"/>
      <c r="AF13" s="38" t="n"/>
      <c r="AG13" s="38" t="n"/>
    </row>
    <row r="14" ht="13" customHeight="1" s="74">
      <c r="A14" s="39" t="inlineStr">
        <is>
          <t>Mechanisms</t>
        </is>
      </c>
      <c r="B14" s="39" t="n"/>
      <c r="C14" s="39" t="n"/>
      <c r="D14" s="39" t="n"/>
      <c r="E14" s="39" t="n"/>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39" t="n"/>
      <c r="AA14" s="39" t="n"/>
      <c r="AB14" s="39" t="n"/>
      <c r="AC14" s="39" t="n"/>
      <c r="AD14" s="39" t="n"/>
      <c r="AE14" s="39" t="n"/>
      <c r="AF14" s="39" t="n"/>
      <c r="AG14" s="39" t="n"/>
    </row>
    <row r="15" ht="13" customHeight="1" s="74">
      <c r="A15" s="40" t="inlineStr">
        <is>
          <t>受影响的利益相关者</t>
        </is>
      </c>
      <c r="B15" s="40" t="inlineStr">
        <is>
          <t>Mechanism</t>
        </is>
      </c>
      <c r="C15" s="40" t="inlineStr">
        <is>
          <t>驱动变量</t>
        </is>
      </c>
      <c r="D15" s="40" t="inlineStr">
        <is>
          <t>影响类型</t>
        </is>
      </c>
      <c r="E15" s="40" t="inlineStr">
        <is>
          <t>正面/负面</t>
        </is>
      </c>
      <c r="F15" s="40" t="inlineStr">
        <is>
          <t>Method</t>
        </is>
      </c>
      <c r="G15" s="40" t="inlineStr">
        <is>
          <t>Value</t>
        </is>
      </c>
      <c r="H15" s="40" t="inlineStr">
        <is>
          <t>Unit</t>
        </is>
      </c>
      <c r="I15" s="40" t="inlineStr">
        <is>
          <t>% 可归因</t>
        </is>
      </c>
      <c r="J15" s="40" t="inlineStr">
        <is>
          <t>笔记与解释</t>
        </is>
      </c>
      <c r="K15" s="40" t="n"/>
      <c r="L15" s="40" t="n"/>
      <c r="M15" s="40" t="n"/>
      <c r="N15" s="40" t="n"/>
      <c r="O15" s="40" t="n"/>
      <c r="P15" s="40" t="n"/>
      <c r="Q15" s="40" t="n"/>
      <c r="R15" s="40" t="n"/>
      <c r="S15" s="40" t="n"/>
      <c r="T15" s="40" t="n"/>
      <c r="U15" s="40" t="n"/>
      <c r="V15" s="40" t="n"/>
      <c r="W15" s="40" t="n"/>
      <c r="X15" s="40" t="n"/>
      <c r="Y15" s="40" t="n"/>
      <c r="Z15" s="40" t="n"/>
      <c r="AA15" s="40" t="n"/>
      <c r="AB15" s="40" t="n"/>
      <c r="AC15" s="40" t="n"/>
      <c r="AD15" s="40" t="n"/>
      <c r="AE15" s="40" t="n"/>
      <c r="AF15" s="40" t="n"/>
      <c r="AG15" s="40" t="n"/>
    </row>
    <row r="16" ht="13" customHeight="1" s="74">
      <c r="A16" s="20" t="n"/>
      <c r="C16" s="18" t="n"/>
      <c r="D16" s="18" t="n"/>
      <c r="E16" s="18" t="n"/>
      <c r="F16" s="18" t="n"/>
      <c r="G16" s="25" t="n"/>
      <c r="H16" s="18"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row>
    <row r="17" ht="13" customHeight="1" s="74">
      <c r="A17" s="20" t="n"/>
      <c r="B17" s="20" t="n"/>
      <c r="C17" s="18" t="n"/>
      <c r="D17" s="18" t="n"/>
      <c r="E17" s="18" t="n"/>
      <c r="F17" s="18" t="n"/>
      <c r="G17" s="25"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row>
    <row r="18" ht="13" customHeight="1" s="74">
      <c r="A18" s="20" t="n"/>
      <c r="B18" s="18" t="n"/>
      <c r="C18" s="18" t="n"/>
      <c r="D18" s="18" t="n"/>
      <c r="E18" s="18" t="n"/>
      <c r="F18" s="18" t="n"/>
      <c r="G18" s="25"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row>
    <row r="19" ht="13" customHeight="1" s="74">
      <c r="A19" s="20" t="n"/>
      <c r="B19" s="18" t="n"/>
      <c r="C19" s="18" t="n"/>
      <c r="D19" s="18" t="n"/>
      <c r="E19" s="18" t="n"/>
      <c r="F19" s="18" t="n"/>
      <c r="G19" s="25"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row>
    <row r="20" ht="13" customHeight="1" s="74">
      <c r="A20" s="20" t="n"/>
      <c r="B20" s="18" t="n"/>
      <c r="C20" s="18" t="n"/>
      <c r="D20" s="18" t="n"/>
      <c r="E20" s="18" t="n"/>
      <c r="F20" s="18" t="n"/>
      <c r="G20" s="25"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row>
    <row r="21" ht="13" customHeight="1" s="74">
      <c r="A21" s="20" t="n"/>
      <c r="C21" s="18" t="n"/>
      <c r="D21" s="18" t="n"/>
      <c r="E21" s="18" t="n"/>
      <c r="F21" s="18" t="n"/>
      <c r="G21" s="25"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row>
    <row r="22" ht="13" customHeight="1" s="74">
      <c r="A22" s="20" t="n"/>
      <c r="B22" s="18" t="n"/>
      <c r="C22" s="18" t="n"/>
      <c r="D22" s="18" t="n"/>
      <c r="E22" s="18" t="n"/>
      <c r="F22" s="18" t="n"/>
      <c r="G22" s="25"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row>
    <row r="23" ht="13" customHeight="1" s="74">
      <c r="A23" s="26" t="n"/>
      <c r="B23" s="26" t="n"/>
      <c r="C23" s="26" t="n"/>
      <c r="D23" s="26" t="n"/>
      <c r="E23" s="26" t="n"/>
      <c r="F23" s="26" t="n"/>
      <c r="G23" s="27"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row>
    <row r="24" ht="13" customHeight="1" s="74">
      <c r="A24" s="20" t="n"/>
      <c r="B24" s="20" t="n"/>
      <c r="C24" s="20" t="n"/>
      <c r="D24" s="20" t="n"/>
      <c r="E24" s="20" t="n"/>
      <c r="F24" s="20" t="n"/>
      <c r="G24" s="28"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row>
    <row r="25" ht="13" customHeight="1" s="74">
      <c r="A25" s="20" t="n"/>
      <c r="B25" s="20" t="n"/>
      <c r="C25" s="20" t="n"/>
      <c r="D25" s="20" t="n"/>
      <c r="E25" s="20" t="n"/>
      <c r="F25" s="20" t="n"/>
      <c r="G25" s="28"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row>
    <row r="26" ht="13" customHeight="1" s="74">
      <c r="A26" s="29" t="n"/>
      <c r="B26" s="29" t="n"/>
      <c r="C26" s="29" t="n"/>
      <c r="D26" s="29" t="n"/>
      <c r="E26" s="29" t="n"/>
      <c r="F26" s="29" t="n"/>
      <c r="G26" s="30"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row>
    <row r="27" ht="13" customHeight="1" s="74">
      <c r="A27" s="20" t="n"/>
      <c r="B27" s="20" t="n"/>
      <c r="C27" s="20" t="n"/>
      <c r="D27" s="20" t="n"/>
      <c r="E27" s="20" t="n"/>
      <c r="F27" s="28" t="n"/>
      <c r="G27" s="28"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row>
    <row r="28" ht="13.5" customHeight="1" s="74">
      <c r="A28" s="20" t="n"/>
      <c r="B28" s="20" t="n"/>
      <c r="C28" s="20" t="n"/>
      <c r="D28" s="20" t="n"/>
      <c r="E28" s="20" t="n"/>
      <c r="F28" s="28" t="n"/>
      <c r="G28" s="28"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row>
    <row r="29" ht="13" customHeight="1" s="74">
      <c r="A29" s="18" t="n"/>
      <c r="B29" s="18" t="n"/>
      <c r="C29" s="18" t="n"/>
      <c r="D29" s="18" t="n"/>
      <c r="E29" s="18" t="n"/>
      <c r="F29" s="18" t="n"/>
      <c r="G29" s="25"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row>
    <row r="30" ht="13" customHeight="1" s="74">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row>
    <row r="31" ht="13" customHeight="1" s="74">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row>
    <row r="32" ht="13" customHeight="1" s="74">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row>
    <row r="33" ht="13" customHeight="1" s="74">
      <c r="A33" s="41" t="inlineStr">
        <is>
          <t>第三节</t>
        </is>
      </c>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c r="AE33" s="41" t="n"/>
      <c r="AF33" s="41" t="n"/>
      <c r="AG33" s="41" t="n"/>
    </row>
    <row r="34" ht="13" customHeight="1" s="74">
      <c r="A34" s="42" t="inlineStr">
        <is>
          <t>投资公司输入（实际）</t>
        </is>
      </c>
      <c r="B34" s="42" t="inlineStr">
        <is>
          <t>Value</t>
        </is>
      </c>
      <c r="C34" s="42" t="inlineStr">
        <is>
          <t>Unit</t>
        </is>
      </c>
      <c r="D34" s="42" t="inlineStr">
        <is>
          <t>Note</t>
        </is>
      </c>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c r="AA34" s="42" t="n"/>
      <c r="AB34" s="42" t="n"/>
      <c r="AC34" s="42" t="n"/>
      <c r="AD34" s="42" t="n"/>
      <c r="AE34" s="42" t="n"/>
      <c r="AF34" s="42" t="n"/>
      <c r="AG34" s="42" t="n"/>
    </row>
    <row r="35" ht="13" customHeight="1" s="74">
      <c r="A35" s="73"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row>
    <row r="36"/>
    <row r="37" ht="13" customHeight="1" s="74">
      <c r="A37" s="73"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row>
    <row r="38" ht="13" customHeight="1" s="74">
      <c r="A38" s="32"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c r="AA38" s="20" t="n"/>
      <c r="AB38" s="20" t="n"/>
      <c r="AC38" s="20" t="n"/>
      <c r="AD38" s="20" t="n"/>
      <c r="AE38" s="20" t="n"/>
      <c r="AF38" s="20" t="n"/>
      <c r="AG38" s="20" t="n"/>
    </row>
    <row r="39" ht="13" customHeight="1" s="74">
      <c r="A39" s="42" t="inlineStr">
        <is>
          <t>投资公司输入（如有必要，预期）</t>
        </is>
      </c>
      <c r="B39" s="42" t="inlineStr">
        <is>
          <t>Value</t>
        </is>
      </c>
      <c r="C39" s="42" t="inlineStr">
        <is>
          <t>Unit</t>
        </is>
      </c>
      <c r="D39" s="42" t="inlineStr">
        <is>
          <t>Note</t>
        </is>
      </c>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c r="AA39" s="42" t="n"/>
      <c r="AB39" s="42" t="n"/>
      <c r="AC39" s="42" t="n"/>
      <c r="AD39" s="42" t="n"/>
      <c r="AE39" s="42" t="n"/>
      <c r="AF39" s="42" t="n"/>
      <c r="AG39" s="42" t="n"/>
    </row>
    <row r="40" ht="13" customHeight="1" s="74">
      <c r="A40" s="73"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c r="AA40" s="20" t="n"/>
      <c r="AB40" s="20" t="n"/>
      <c r="AC40" s="20" t="n"/>
      <c r="AD40" s="20" t="n"/>
      <c r="AE40" s="20" t="n"/>
      <c r="AF40" s="20" t="n"/>
      <c r="AG40" s="20" t="n"/>
    </row>
    <row r="41" ht="13" customHeight="1" s="74">
      <c r="A41" s="73"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c r="AA41" s="20" t="n"/>
      <c r="AB41" s="20" t="n"/>
      <c r="AC41" s="20" t="n"/>
      <c r="AD41" s="20" t="n"/>
      <c r="AE41" s="20" t="n"/>
      <c r="AF41" s="20" t="n"/>
      <c r="AG41" s="20" t="n"/>
    </row>
    <row r="42" ht="13" customHeight="1" s="74">
      <c r="A42" s="32" t="n"/>
      <c r="B42" s="20"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row>
    <row r="43" ht="13" customHeight="1" s="74">
      <c r="A43" s="43" t="inlineStr">
        <is>
          <t>SECTION IV</t>
        </is>
      </c>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c r="AC43" s="43" t="n"/>
      <c r="AD43" s="43" t="n"/>
      <c r="AE43" s="43" t="n"/>
      <c r="AF43" s="43" t="n"/>
      <c r="AG43" s="43" t="n"/>
    </row>
    <row r="44" ht="13" customHeight="1" s="74">
      <c r="A44" s="44" t="inlineStr">
        <is>
          <t>Total</t>
        </is>
      </c>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c r="AA44" s="45" t="n"/>
      <c r="AB44" s="45" t="n"/>
      <c r="AC44" s="45" t="n"/>
      <c r="AD44" s="45" t="n"/>
      <c r="AE44" s="45" t="n"/>
      <c r="AF44" s="45" t="n"/>
      <c r="AG44" s="45" t="n"/>
    </row>
    <row r="45" ht="13" customHeight="1" s="74">
      <c r="A45" s="46" t="inlineStr">
        <is>
          <t>利益相关者</t>
        </is>
      </c>
      <c r="B45" s="46" t="inlineStr">
        <is>
          <t>Mechanism</t>
        </is>
      </c>
      <c r="C45" s="46" t="inlineStr">
        <is>
          <t>Total</t>
        </is>
      </c>
      <c r="D45" s="47" t="inlineStr">
        <is>
          <t>每1美元的收入</t>
        </is>
      </c>
      <c r="E45" s="46" t="n"/>
      <c r="F45" s="48"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row>
    <row r="46" ht="13" customHeight="1" s="74">
      <c r="A46" s="18" t="n"/>
      <c r="B46" s="20" t="n"/>
      <c r="C46" s="18" t="n"/>
      <c r="D46" s="33" t="n"/>
      <c r="E46" s="18" t="n"/>
      <c r="F46" s="34"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row>
    <row r="47" ht="13" customHeight="1" s="74">
      <c r="A47" s="20" t="n"/>
      <c r="B47" s="18" t="n"/>
      <c r="C47" s="18" t="n"/>
      <c r="D47" s="33" t="n"/>
      <c r="E47" s="18" t="n"/>
      <c r="F47" s="34"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row>
    <row r="48" ht="13" customHeight="1" s="74">
      <c r="A48" s="18" t="n"/>
      <c r="B48" s="18" t="n"/>
      <c r="C48" s="18" t="n"/>
      <c r="D48" s="33" t="n"/>
      <c r="E48" s="18" t="n"/>
      <c r="F48" s="34"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row>
    <row r="49" ht="13" customHeight="1" s="74">
      <c r="A49" s="18" t="n"/>
      <c r="B49" s="18" t="n"/>
      <c r="C49" s="25" t="n"/>
      <c r="D49" s="33" t="n"/>
      <c r="E49" s="25" t="n"/>
      <c r="F49" s="34"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row>
    <row r="50" ht="13" customHeight="1" s="74">
      <c r="A50" s="20" t="n"/>
      <c r="B50" s="20" t="n"/>
      <c r="C50" s="25" t="n"/>
      <c r="D50" s="33" t="n"/>
      <c r="E50" s="18" t="n"/>
      <c r="F50" s="34"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row>
    <row r="51" ht="13" customHeight="1" s="74">
      <c r="A51" s="20" t="n"/>
      <c r="B51" s="20" t="n"/>
      <c r="C51" s="18" t="n"/>
      <c r="D51" s="33" t="n"/>
      <c r="E51" s="18" t="n"/>
      <c r="F51" s="34"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row>
    <row r="52" ht="13" customHeight="1" s="74">
      <c r="A52" s="18" t="n"/>
      <c r="B52" s="18" t="n"/>
      <c r="C52" s="18" t="n"/>
      <c r="D52" s="33" t="n"/>
      <c r="E52" s="18" t="n"/>
      <c r="F52" s="34"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row>
    <row r="53" ht="13" customHeight="1" s="74">
      <c r="A53" s="71" t="inlineStr">
        <is>
          <t>Total:</t>
        </is>
      </c>
      <c r="B53" s="77" t="n"/>
      <c r="C53" s="49" t="n"/>
      <c r="D53" s="50" t="n"/>
      <c r="E53" s="49" t="n"/>
      <c r="F53" s="51"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c r="AA53" s="49" t="n"/>
      <c r="AB53" s="49" t="n"/>
      <c r="AC53" s="49" t="n"/>
      <c r="AD53" s="49" t="n"/>
      <c r="AE53" s="49" t="n"/>
      <c r="AF53" s="49" t="n"/>
      <c r="AG53" s="49" t="n"/>
    </row>
    <row r="54" ht="13" customHeight="1" s="74">
      <c r="A54" s="73" t="inlineStr">
        <is>
          <t>总计，环境：</t>
        </is>
      </c>
      <c r="C54" s="18" t="n"/>
      <c r="D54" s="18" t="n"/>
      <c r="E54" s="18" t="n"/>
      <c r="F54" s="34"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row>
    <row r="55" ht="13" customHeight="1" s="74">
      <c r="A55" s="75" t="inlineStr">
        <is>
          <t>总计，社交：</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ht="13" customHeight="1" s="74">
      <c r="A56" s="1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ht="13" customHeight="1" s="74">
      <c r="A57" s="52" t="inlineStr">
        <is>
          <t>假设</t>
        </is>
      </c>
      <c r="B57" s="53" t="n"/>
      <c r="C57" s="53" t="n"/>
      <c r="D57" s="53" t="n"/>
      <c r="E57" s="53"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53" t="n"/>
      <c r="AA57" s="53" t="n"/>
      <c r="AB57" s="53" t="n"/>
      <c r="AC57" s="53" t="n"/>
      <c r="AD57" s="53" t="n"/>
      <c r="AE57" s="53" t="n"/>
      <c r="AF57" s="53" t="n"/>
      <c r="AG57" s="53" t="n"/>
    </row>
    <row r="58" ht="13" customHeight="1" s="74">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row>
    <row r="59" ht="13" customHeight="1" s="74">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row>
    <row r="60" ht="13" customHeight="1" s="74">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row>
    <row r="61" ht="13" customHeight="1" s="74">
      <c r="A61" s="18" t="n"/>
      <c r="B61" s="18" t="n"/>
      <c r="C61" s="25" t="n"/>
      <c r="D61" s="7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row>
    <row r="62" ht="13" customHeight="1" s="74">
      <c r="A62" s="18" t="n"/>
      <c r="B62" s="18" t="n"/>
      <c r="C62" s="25" t="n"/>
      <c r="D62" s="7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row>
    <row r="63" ht="13" customHeight="1" s="74">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row>
    <row r="64" ht="13" customHeight="1" s="7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row>
    <row r="65" ht="13" customHeight="1" s="74">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row>
    <row r="66" ht="13" customHeight="1" s="74">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row>
    <row r="67" ht="13" customHeight="1" s="74">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row>
    <row r="68" ht="13" customHeight="1" s="74">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row>
    <row r="69" ht="13" customHeight="1" s="74">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row>
    <row r="70" ht="13" customHeight="1" s="74">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row>
    <row r="71" ht="13" customHeight="1" s="74">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row>
    <row r="72" ht="13" customHeight="1" s="74">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row>
    <row r="73" ht="13" customHeight="1" s="74">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row>
    <row r="74" ht="13" customHeight="1" s="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row>
    <row r="75" ht="13" customHeight="1" s="74">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row>
    <row r="76" ht="13" customHeight="1" s="74">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row>
    <row r="77" ht="13" customHeight="1" s="74">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row>
    <row r="78" ht="13" customHeight="1" s="74">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row>
    <row r="79" ht="13" customHeight="1" s="74">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row>
    <row r="80" ht="13" customHeight="1" s="74">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row>
    <row r="81" ht="13" customHeight="1" s="74">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row>
    <row r="82" ht="13" customHeight="1" s="74">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row>
    <row r="83" ht="13" customHeight="1" s="74">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row>
    <row r="84" ht="13" customHeight="1" s="7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row>
    <row r="85" ht="13" customHeight="1" s="74">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row>
    <row r="86" ht="13" customHeight="1" s="74">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row>
    <row r="87" ht="13" customHeight="1" s="74">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row>
    <row r="88" ht="13" customHeight="1" s="74">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row>
    <row r="89" ht="13" customHeight="1" s="74">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row>
    <row r="90" ht="13" customHeight="1" s="74">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row>
    <row r="91" ht="13" customHeight="1" s="74">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row>
    <row r="92" ht="13" customHeight="1" s="74">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row>
    <row r="93" ht="13" customHeight="1" s="74">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row>
    <row r="94" ht="13" customHeight="1" s="7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row>
    <row r="95" ht="13" customHeight="1" s="74">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row>
    <row r="96" ht="13" customHeight="1" s="74">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row>
    <row r="97" ht="13" customHeight="1" s="74">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row>
    <row r="98" ht="13" customHeight="1" s="74">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row>
    <row r="99" ht="13" customHeight="1" s="74">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row>
    <row r="100" ht="13" customHeight="1" s="74">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row>
    <row r="101" ht="13" customHeight="1" s="74">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row>
    <row r="102" ht="13" customHeight="1" s="74">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row>
    <row r="103" ht="13" customHeight="1" s="74">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row>
    <row r="104" ht="13" customHeight="1" s="7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row>
    <row r="105" ht="13" customHeight="1" s="74">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row>
    <row r="106" ht="13" customHeight="1" s="74">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row>
    <row r="107" ht="13" customHeight="1" s="74">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row>
    <row r="108" ht="13" customHeight="1" s="74">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row>
    <row r="109" ht="13" customHeight="1" s="74">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row>
    <row r="110" ht="13" customHeight="1" s="74">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row>
    <row r="111" ht="13" customHeight="1" s="74">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row>
    <row r="112" ht="13" customHeight="1" s="74">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row>
    <row r="113" ht="13" customHeight="1" s="74">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row>
    <row r="114" ht="13" customHeight="1" s="7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row>
    <row r="115" ht="13" customHeight="1" s="74">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row>
    <row r="116" ht="13" customHeight="1" s="74">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row>
    <row r="117" ht="13" customHeight="1" s="74">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row>
    <row r="118" ht="13" customHeight="1" s="74">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row>
    <row r="119" ht="13" customHeight="1" s="74">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row>
    <row r="120" ht="13" customHeight="1" s="74">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row>
    <row r="121" ht="13" customHeight="1" s="74">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row>
    <row r="122" ht="13" customHeight="1" s="74">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row>
    <row r="123" ht="13" customHeight="1" s="74">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row>
    <row r="124" ht="13" customHeight="1" s="7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row>
    <row r="125" ht="13" customHeight="1" s="74">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row>
    <row r="126" ht="13" customHeight="1" s="74">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row>
    <row r="127" ht="13" customHeight="1" s="74">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row>
    <row r="128" ht="13" customHeight="1" s="74">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row>
    <row r="129" ht="13" customHeight="1" s="74">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row>
    <row r="130" ht="13" customHeight="1" s="74">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row>
    <row r="131" ht="13" customHeight="1" s="74">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row>
    <row r="132" ht="13" customHeight="1" s="74">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row>
    <row r="133" ht="13" customHeight="1" s="74">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row>
    <row r="134" ht="13" customHeight="1" s="7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row>
    <row r="135" ht="13" customHeight="1" s="74">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row>
    <row r="136" ht="13" customHeight="1" s="74">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row>
    <row r="137" ht="13" customHeight="1" s="74">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row>
    <row r="138" ht="13" customHeight="1" s="74">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row>
    <row r="139" ht="13" customHeight="1" s="74">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row>
    <row r="140" ht="13" customHeight="1" s="74">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row>
    <row r="141" ht="13" customHeight="1" s="74">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row>
    <row r="142" ht="13" customHeight="1" s="74">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row>
    <row r="143" ht="13" customHeight="1" s="74">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row>
    <row r="144" ht="13" customHeight="1" s="7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row>
    <row r="145" ht="13" customHeight="1" s="74">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row>
    <row r="146" ht="13" customHeight="1" s="74">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row>
    <row r="147" ht="13" customHeight="1" s="74">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row>
    <row r="148" ht="13" customHeight="1" s="74">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row>
    <row r="149" ht="13" customHeight="1" s="74">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row>
    <row r="150" ht="13" customHeight="1" s="74">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row>
    <row r="151" ht="13" customHeight="1" s="74">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row>
    <row r="152" ht="13" customHeight="1" s="74">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row>
    <row r="153" ht="13" customHeight="1" s="74">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row>
    <row r="154" ht="13" customHeight="1" s="7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row>
    <row r="155" ht="13" customHeight="1" s="74">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row>
    <row r="156" ht="13" customHeight="1" s="74">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row>
    <row r="157" ht="13" customHeight="1" s="74">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row>
    <row r="158" ht="13" customHeight="1" s="74">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row>
    <row r="159" ht="13" customHeight="1" s="74">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row>
    <row r="160" ht="13" customHeight="1" s="74">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row>
    <row r="161" ht="13" customHeight="1" s="74">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row>
    <row r="162" ht="13" customHeight="1" s="74">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row>
    <row r="163" ht="13" customHeight="1" s="74">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row>
    <row r="164" ht="13" customHeight="1" s="7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row>
    <row r="165" ht="13" customHeight="1" s="74">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row>
    <row r="166" ht="13" customHeight="1" s="74">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row>
    <row r="167" ht="13" customHeight="1" s="74">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row>
    <row r="168" ht="13" customHeight="1" s="74">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row>
    <row r="169" ht="13" customHeight="1" s="74">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row>
    <row r="170" ht="13" customHeight="1" s="74">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row>
    <row r="171" ht="13" customHeight="1" s="74">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row>
    <row r="172" ht="13" customHeight="1" s="74">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row>
    <row r="173" ht="13" customHeight="1" s="74">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row>
    <row r="174" ht="13" customHeight="1" s="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row>
    <row r="175" ht="13" customHeight="1" s="74">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row>
    <row r="176" ht="13" customHeight="1" s="74">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row>
    <row r="177" ht="13" customHeight="1" s="74">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row>
    <row r="178" ht="13" customHeight="1" s="74">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row>
    <row r="179" ht="13" customHeight="1" s="74">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row>
    <row r="180" ht="13" customHeight="1" s="74">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row>
    <row r="181" ht="13" customHeight="1" s="74">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row>
    <row r="182" ht="13" customHeight="1" s="74">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row>
    <row r="183" ht="13" customHeight="1" s="74">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row>
    <row r="184" ht="13" customHeight="1" s="7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row>
    <row r="185" ht="13" customHeight="1" s="74">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row>
    <row r="186" ht="13" customHeight="1" s="74">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row>
    <row r="187" ht="13" customHeight="1" s="74">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row>
    <row r="188" ht="13" customHeight="1" s="74">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row>
    <row r="189" ht="13" customHeight="1" s="74">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row>
    <row r="190" ht="13" customHeight="1" s="74">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row>
    <row r="191" ht="13" customHeight="1" s="74">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row>
    <row r="192" ht="13" customHeight="1" s="74">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row>
    <row r="193" ht="13" customHeight="1" s="74">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row>
    <row r="194" ht="13" customHeight="1" s="7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row>
    <row r="195" ht="13" customHeight="1" s="74">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row>
    <row r="196" ht="13" customHeight="1" s="74">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row>
    <row r="197" ht="13" customHeight="1" s="74">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row>
    <row r="198" ht="13" customHeight="1" s="74">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row>
    <row r="199" ht="13" customHeight="1" s="74">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row>
    <row r="200" ht="13" customHeight="1" s="74">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row>
    <row r="201" ht="13" customHeight="1" s="74">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row>
    <row r="202" ht="13" customHeight="1" s="74">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row>
    <row r="203" ht="13" customHeight="1" s="74">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row>
    <row r="204" ht="13" customHeight="1" s="7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row>
    <row r="205" ht="13" customHeight="1" s="74">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row>
    <row r="206" ht="13" customHeight="1" s="74">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row>
    <row r="207" ht="13" customHeight="1" s="74">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row>
    <row r="208" ht="13" customHeight="1" s="74">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row>
    <row r="209" ht="13" customHeight="1" s="74">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row>
    <row r="210" ht="13" customHeight="1" s="74">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row>
    <row r="211" ht="13" customHeight="1" s="74">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row>
    <row r="212" ht="13" customHeight="1" s="74">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row>
    <row r="213" ht="13" customHeight="1" s="74">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row>
    <row r="214" ht="13" customHeight="1" s="7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row>
    <row r="215" ht="13" customHeight="1" s="74">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row>
    <row r="216" ht="13" customHeight="1" s="74">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row>
    <row r="217" ht="13" customHeight="1" s="74">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row>
    <row r="218" ht="13" customHeight="1" s="74">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row>
    <row r="219" ht="13" customHeight="1" s="74">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row>
    <row r="220" ht="13" customHeight="1" s="74">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row>
    <row r="221" ht="13" customHeight="1" s="74">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row>
    <row r="222" ht="13" customHeight="1" s="74">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row>
    <row r="223" ht="13" customHeight="1" s="74">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row>
    <row r="224" ht="13" customHeight="1" s="7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row>
    <row r="225" ht="13" customHeight="1" s="74">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row>
    <row r="226" ht="13" customHeight="1" s="74">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row>
    <row r="227" ht="13" customHeight="1" s="74">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row>
    <row r="228" ht="13" customHeight="1" s="74">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row>
    <row r="229" ht="13" customHeight="1" s="74">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row>
    <row r="230" ht="13" customHeight="1" s="74">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row>
    <row r="231" ht="13" customHeight="1" s="74">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row>
    <row r="232" ht="13" customHeight="1" s="74">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row>
    <row r="233" ht="13" customHeight="1" s="74">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row>
    <row r="234" ht="13" customHeight="1" s="7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row>
    <row r="235" ht="13" customHeight="1" s="74">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row>
    <row r="236" ht="13" customHeight="1" s="74">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row>
    <row r="237" ht="13" customHeight="1" s="74">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row>
    <row r="238" ht="13" customHeight="1" s="74">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row>
    <row r="239" ht="13" customHeight="1" s="74">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row>
    <row r="240" ht="13" customHeight="1" s="74">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row>
    <row r="241" ht="13" customHeight="1" s="74">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row>
    <row r="242" ht="13" customHeight="1" s="74">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row>
    <row r="243" ht="13" customHeight="1" s="74">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row>
    <row r="244" ht="13" customHeight="1" s="7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row>
    <row r="245" ht="13" customHeight="1" s="74">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row>
    <row r="246" ht="13" customHeight="1" s="74">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row>
    <row r="247" ht="13" customHeight="1" s="74">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row>
    <row r="248" ht="13" customHeight="1" s="74">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row>
    <row r="249" ht="13" customHeight="1" s="74">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row>
    <row r="250" ht="13" customHeight="1" s="74">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row>
    <row r="251" ht="13" customHeight="1" s="74">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row>
    <row r="252" ht="13" customHeight="1" s="74">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row>
    <row r="253" ht="13" customHeight="1" s="74">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row>
    <row r="254" ht="13" customHeight="1" s="7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row>
    <row r="255" ht="13" customHeight="1" s="74">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row>
    <row r="256" ht="13" customHeight="1" s="74">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row>
    <row r="257" ht="13" customHeight="1" s="74">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row>
    <row r="258" ht="13" customHeight="1" s="74">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row>
    <row r="259" ht="13" customHeight="1" s="74">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row>
    <row r="260" ht="13" customHeight="1" s="74">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row>
    <row r="261" ht="13" customHeight="1" s="74">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row>
    <row r="262" ht="13" customHeight="1" s="74">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row>
    <row r="263" ht="13" customHeight="1" s="74">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row>
    <row r="264" ht="13" customHeight="1" s="7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row>
    <row r="265" ht="13" customHeight="1" s="74">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row>
    <row r="266" ht="13" customHeight="1" s="74">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row>
    <row r="267" ht="13" customHeight="1" s="74">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row>
    <row r="268" ht="13" customHeight="1" s="74">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row>
    <row r="269" ht="13" customHeight="1" s="74">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row>
    <row r="270" ht="13" customHeight="1" s="74">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row>
    <row r="271" ht="13" customHeight="1" s="74">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row>
    <row r="272" ht="13" customHeight="1" s="74">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row>
    <row r="273" ht="13" customHeight="1" s="74">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row>
    <row r="274" ht="13" customHeight="1" s="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row>
    <row r="275" ht="13" customHeight="1" s="74">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row>
    <row r="276" ht="13" customHeight="1" s="74">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row>
    <row r="277" ht="13" customHeight="1" s="74">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row>
    <row r="278" ht="13" customHeight="1" s="74">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row>
    <row r="279" ht="13" customHeight="1" s="74">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row>
    <row r="280" ht="13" customHeight="1" s="74">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row>
    <row r="281" ht="13" customHeight="1" s="74">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row>
    <row r="282" ht="13" customHeight="1" s="74">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row>
    <row r="283" ht="13" customHeight="1" s="74">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row>
    <row r="284" ht="13" customHeight="1" s="7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row>
    <row r="285" ht="13" customHeight="1" s="74">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row>
    <row r="286" ht="13" customHeight="1" s="74">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row>
    <row r="287" ht="13" customHeight="1" s="74">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row>
    <row r="288" ht="13" customHeight="1" s="74">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row>
    <row r="289" ht="13" customHeight="1" s="74">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row>
    <row r="290" ht="13" customHeight="1" s="74">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row>
    <row r="291" ht="13" customHeight="1" s="74">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row>
    <row r="292" ht="13" customHeight="1" s="74">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row>
    <row r="293" ht="13" customHeight="1" s="74">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row>
    <row r="294" ht="13" customHeight="1" s="7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row>
    <row r="295" ht="13" customHeight="1" s="74">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row>
    <row r="296" ht="13" customHeight="1" s="74">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row>
    <row r="297" ht="13" customHeight="1" s="74">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row>
    <row r="298" ht="13" customHeight="1" s="74">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row>
    <row r="299" ht="13" customHeight="1" s="74">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row>
    <row r="300" ht="13" customHeight="1" s="74">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row>
    <row r="301" ht="13" customHeight="1" s="74">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row>
    <row r="302" ht="13" customHeight="1" s="74">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row>
    <row r="303" ht="13" customHeight="1" s="74">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row>
    <row r="304" ht="13" customHeight="1" s="7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row>
    <row r="305" ht="13" customHeight="1" s="74">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row>
    <row r="306" ht="13" customHeight="1" s="74">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row>
    <row r="307" ht="13" customHeight="1" s="74">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row>
    <row r="308" ht="13" customHeight="1" s="74">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row>
    <row r="309" ht="13" customHeight="1" s="74">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row>
    <row r="310" ht="13" customHeight="1" s="74">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row>
    <row r="311" ht="13" customHeight="1" s="74">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row>
    <row r="312" ht="13" customHeight="1" s="74">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row>
    <row r="313" ht="13" customHeight="1" s="74">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row>
    <row r="314" ht="13" customHeight="1" s="7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row>
    <row r="315" ht="13" customHeight="1" s="74">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row>
    <row r="316" ht="13" customHeight="1" s="74">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row>
    <row r="317" ht="13" customHeight="1" s="74">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row>
    <row r="318" ht="13" customHeight="1" s="74">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row>
    <row r="319" ht="13" customHeight="1" s="74">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row>
    <row r="320" ht="13" customHeight="1" s="74">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row>
    <row r="321" ht="13" customHeight="1" s="74">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row>
    <row r="322" ht="13" customHeight="1" s="74">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row>
    <row r="323" ht="13" customHeight="1" s="74">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row>
    <row r="324" ht="13" customHeight="1" s="7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row>
    <row r="325" ht="13" customHeight="1" s="74">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row>
    <row r="326" ht="13" customHeight="1" s="74">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row>
    <row r="327" ht="13" customHeight="1" s="74">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row>
    <row r="328" ht="13" customHeight="1" s="74">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row>
    <row r="329" ht="13" customHeight="1" s="74">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row>
    <row r="330" ht="13" customHeight="1" s="74">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row>
    <row r="331" ht="13" customHeight="1" s="74">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row>
    <row r="332" ht="13" customHeight="1" s="74">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row>
    <row r="333" ht="13" customHeight="1" s="74">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row>
    <row r="334" ht="13" customHeight="1" s="7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row>
    <row r="335" ht="13" customHeight="1" s="74">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row>
    <row r="336" ht="13" customHeight="1" s="74">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row>
    <row r="337" ht="13" customHeight="1" s="74">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row>
    <row r="338" ht="13" customHeight="1" s="74">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row>
    <row r="339" ht="13" customHeight="1" s="74">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row>
    <row r="340" ht="13" customHeight="1" s="74">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row>
    <row r="341" ht="13" customHeight="1" s="74">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row>
    <row r="342" ht="13" customHeight="1" s="74">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row>
    <row r="343" ht="13" customHeight="1" s="74">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row>
    <row r="344" ht="13" customHeight="1" s="7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row>
    <row r="345" ht="13" customHeight="1" s="74">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row>
    <row r="346" ht="13" customHeight="1" s="74">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row>
    <row r="347" ht="13" customHeight="1" s="74">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row>
    <row r="348" ht="13" customHeight="1" s="74">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row>
    <row r="349" ht="13" customHeight="1" s="74">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row>
    <row r="350" ht="13" customHeight="1" s="74">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row>
    <row r="351" ht="13" customHeight="1" s="74">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row>
    <row r="352" ht="13" customHeight="1" s="74">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row>
    <row r="353" ht="13" customHeight="1" s="74">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row>
    <row r="354" ht="13" customHeight="1" s="7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row>
    <row r="355" ht="13" customHeight="1" s="74">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row>
    <row r="356" ht="13" customHeight="1" s="74">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row>
    <row r="357" ht="13" customHeight="1" s="74">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row>
    <row r="358" ht="13" customHeight="1" s="74">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row>
    <row r="359" ht="13" customHeight="1" s="74">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row>
    <row r="360" ht="13" customHeight="1" s="74">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row>
    <row r="361" ht="13" customHeight="1" s="74">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row>
    <row r="362" ht="13" customHeight="1" s="74">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row>
    <row r="363" ht="13" customHeight="1" s="74">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row>
    <row r="364" ht="13" customHeight="1" s="7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row>
    <row r="365" ht="13" customHeight="1" s="74">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row>
    <row r="366" ht="13" customHeight="1" s="74">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row>
    <row r="367" ht="13" customHeight="1" s="74">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row>
    <row r="368" ht="13" customHeight="1" s="74">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row>
    <row r="369" ht="13" customHeight="1" s="74">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row>
    <row r="370" ht="13" customHeight="1" s="74">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row>
    <row r="371" ht="13" customHeight="1" s="74">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row>
    <row r="372" ht="13" customHeight="1" s="74">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row>
    <row r="373" ht="13" customHeight="1" s="74">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row>
    <row r="374" ht="13" customHeight="1" s="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row>
    <row r="375" ht="13" customHeight="1" s="74">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row>
    <row r="376" ht="13" customHeight="1" s="74">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row>
    <row r="377" ht="13" customHeight="1" s="74">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row>
    <row r="378" ht="13" customHeight="1" s="74">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row>
    <row r="379" ht="13" customHeight="1" s="74">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row>
    <row r="380" ht="13" customHeight="1" s="74">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row>
    <row r="381" ht="13" customHeight="1" s="74">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row>
    <row r="382" ht="13" customHeight="1" s="74">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row>
    <row r="383" ht="13" customHeight="1" s="74">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row>
    <row r="384" ht="13" customHeight="1" s="7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row>
    <row r="385" ht="13" customHeight="1" s="74">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row>
    <row r="386" ht="13" customHeight="1" s="74">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row>
    <row r="387" ht="13" customHeight="1" s="74">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row>
    <row r="388" ht="13" customHeight="1" s="74">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row>
    <row r="389" ht="13" customHeight="1" s="74">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row>
    <row r="390" ht="13" customHeight="1" s="74">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row>
    <row r="391" ht="13" customHeight="1" s="74">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row>
    <row r="392" ht="13" customHeight="1" s="74">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row>
    <row r="393" ht="13" customHeight="1" s="74">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row>
    <row r="394" ht="13" customHeight="1" s="7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row>
    <row r="395" ht="13" customHeight="1" s="74">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row>
    <row r="396" ht="13" customHeight="1" s="74">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row>
    <row r="397" ht="13" customHeight="1" s="74">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row>
    <row r="398" ht="13" customHeight="1" s="74">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row>
    <row r="399" ht="13" customHeight="1" s="74">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row>
    <row r="400" ht="13" customHeight="1" s="74">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row>
    <row r="401" ht="13" customHeight="1" s="74">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row>
    <row r="402" ht="13" customHeight="1" s="74">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row>
    <row r="403" ht="13" customHeight="1" s="74">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row>
    <row r="404" ht="13" customHeight="1" s="7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row>
    <row r="405" ht="13" customHeight="1" s="74">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row>
    <row r="406" ht="13" customHeight="1" s="74">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row>
    <row r="407" ht="13" customHeight="1" s="74">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row>
    <row r="408" ht="13" customHeight="1" s="74">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row>
    <row r="409" ht="13" customHeight="1" s="74">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row>
    <row r="410" ht="13" customHeight="1" s="74">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row>
    <row r="411" ht="13" customHeight="1" s="74">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row>
    <row r="412" ht="13" customHeight="1" s="74">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row>
    <row r="413" ht="13" customHeight="1" s="74">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row>
    <row r="414" ht="13" customHeight="1" s="7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row>
    <row r="415" ht="13" customHeight="1" s="74">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row>
    <row r="416" ht="13" customHeight="1" s="74">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row>
    <row r="417" ht="13" customHeight="1" s="74">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row>
    <row r="418" ht="13" customHeight="1" s="74">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row>
    <row r="419" ht="13" customHeight="1" s="74">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row>
    <row r="420" ht="13" customHeight="1" s="74">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row>
    <row r="421" ht="13" customHeight="1" s="74">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row>
    <row r="422" ht="13" customHeight="1" s="74">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row>
    <row r="423" ht="13" customHeight="1" s="74">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row>
    <row r="424" ht="13" customHeight="1" s="7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row>
    <row r="425" ht="13" customHeight="1" s="74">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row>
    <row r="426" ht="13" customHeight="1" s="74">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row>
    <row r="427" ht="13" customHeight="1" s="74">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row>
    <row r="428" ht="13" customHeight="1" s="74">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row>
    <row r="429" ht="13" customHeight="1" s="74">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row>
    <row r="430" ht="13" customHeight="1" s="74">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row>
    <row r="431" ht="13" customHeight="1" s="74">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row>
    <row r="432" ht="13" customHeight="1" s="74">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row>
    <row r="433" ht="13" customHeight="1" s="74">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row>
    <row r="434" ht="13" customHeight="1" s="7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row>
    <row r="435" ht="13" customHeight="1" s="74">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row>
    <row r="436" ht="13" customHeight="1" s="74">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row>
    <row r="437" ht="13" customHeight="1" s="74">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row>
    <row r="438" ht="13" customHeight="1" s="74">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row>
    <row r="439" ht="13" customHeight="1" s="74">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row>
    <row r="440" ht="13" customHeight="1" s="74">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row>
    <row r="441" ht="13" customHeight="1" s="74">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row>
    <row r="442" ht="13" customHeight="1" s="74">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row>
    <row r="443" ht="13" customHeight="1" s="74">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row>
    <row r="444" ht="13" customHeight="1" s="7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row>
    <row r="445" ht="13" customHeight="1" s="74">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row>
    <row r="446" ht="13" customHeight="1" s="74">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row>
    <row r="447" ht="13" customHeight="1" s="74">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row>
    <row r="448" ht="13" customHeight="1" s="74">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row>
    <row r="449" ht="13" customHeight="1" s="74">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row>
    <row r="450" ht="13" customHeight="1" s="74">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row>
    <row r="451" ht="13" customHeight="1" s="74">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row>
    <row r="452" ht="13" customHeight="1" s="74">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row>
    <row r="453" ht="13" customHeight="1" s="74">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row>
    <row r="454" ht="13" customHeight="1" s="7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row>
    <row r="455" ht="13" customHeight="1" s="74">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row>
    <row r="456" ht="13" customHeight="1" s="74">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row>
    <row r="457" ht="13" customHeight="1" s="74">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row>
    <row r="458" ht="13" customHeight="1" s="74">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row>
    <row r="459" ht="13" customHeight="1" s="74">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row>
    <row r="460" ht="13" customHeight="1" s="74">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row>
    <row r="461" ht="13" customHeight="1" s="74">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row>
    <row r="462" ht="13" customHeight="1" s="74">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row>
    <row r="463" ht="13" customHeight="1" s="74">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row>
    <row r="464" ht="13" customHeight="1" s="7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row>
    <row r="465" ht="13" customHeight="1" s="74">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row>
    <row r="466" ht="13" customHeight="1" s="74">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row>
    <row r="467" ht="13" customHeight="1" s="74">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row>
    <row r="468" ht="13" customHeight="1" s="74">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row>
    <row r="469" ht="13" customHeight="1" s="74">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row>
    <row r="470" ht="13" customHeight="1" s="74">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row>
    <row r="471" ht="13" customHeight="1" s="74">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row>
    <row r="472" ht="13" customHeight="1" s="74">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row>
    <row r="473" ht="13" customHeight="1" s="74">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row>
    <row r="474" ht="13" customHeight="1" s="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row>
    <row r="475" ht="13" customHeight="1" s="74">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row>
    <row r="476" ht="13" customHeight="1" s="74">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row>
    <row r="477" ht="13" customHeight="1" s="74">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row>
    <row r="478" ht="13" customHeight="1" s="74">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row>
    <row r="479" ht="13" customHeight="1" s="74">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row>
    <row r="480" ht="13" customHeight="1" s="74">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row>
    <row r="481" ht="13" customHeight="1" s="74">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row>
    <row r="482" ht="13" customHeight="1" s="74">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row>
    <row r="483" ht="13" customHeight="1" s="74">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row>
    <row r="484" ht="13" customHeight="1" s="7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row>
    <row r="485" ht="13" customHeight="1" s="74">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row>
    <row r="486" ht="13" customHeight="1" s="74">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row>
    <row r="487" ht="13" customHeight="1" s="74">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row>
    <row r="488" ht="13" customHeight="1" s="74">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row>
    <row r="489" ht="13" customHeight="1" s="74">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row>
    <row r="490" ht="13" customHeight="1" s="74">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row>
    <row r="491" ht="13" customHeight="1" s="74">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row>
    <row r="492" ht="13" customHeight="1" s="74">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row>
    <row r="493" ht="13" customHeight="1" s="74">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row>
    <row r="494" ht="13" customHeight="1" s="7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row>
    <row r="495" ht="13" customHeight="1" s="74">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row>
    <row r="496" ht="13" customHeight="1" s="74">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row>
    <row r="497" ht="13" customHeight="1" s="74">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row>
    <row r="498" ht="13" customHeight="1" s="74">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row>
    <row r="499" ht="13" customHeight="1" s="74">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row>
    <row r="500" ht="13" customHeight="1" s="74">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row>
    <row r="501" ht="13" customHeight="1" s="74">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row>
    <row r="502" ht="13" customHeight="1" s="74">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row>
    <row r="503" ht="13" customHeight="1" s="74">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row>
    <row r="504" ht="13" customHeight="1" s="7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row>
    <row r="505" ht="13" customHeight="1" s="74">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row>
    <row r="506" ht="13" customHeight="1" s="74">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row>
    <row r="507" ht="13" customHeight="1" s="74">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row>
    <row r="508" ht="13" customHeight="1" s="74">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row>
    <row r="509" ht="13" customHeight="1" s="74">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row>
    <row r="510" ht="13" customHeight="1" s="74">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row>
    <row r="511" ht="13" customHeight="1" s="74">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row>
    <row r="512" ht="13" customHeight="1" s="74">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row>
    <row r="513" ht="13" customHeight="1" s="74">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row>
    <row r="514" ht="13" customHeight="1" s="7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row>
    <row r="515" ht="13" customHeight="1" s="74">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row>
    <row r="516" ht="13" customHeight="1" s="74">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row>
    <row r="517" ht="13" customHeight="1" s="74">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row>
    <row r="518" ht="13" customHeight="1" s="74">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row>
    <row r="519" ht="13" customHeight="1" s="74">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row>
    <row r="520" ht="13" customHeight="1" s="74">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row>
    <row r="521" ht="13" customHeight="1" s="74">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row>
    <row r="522" ht="13" customHeight="1" s="74">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row>
    <row r="523" ht="13" customHeight="1" s="74">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row>
    <row r="524" ht="13" customHeight="1" s="7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row>
    <row r="525" ht="13" customHeight="1" s="74">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row>
    <row r="526" ht="13" customHeight="1" s="74">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row>
    <row r="527" ht="13" customHeight="1" s="74">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row>
    <row r="528" ht="13" customHeight="1" s="74">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row>
    <row r="529" ht="13" customHeight="1" s="74">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row>
    <row r="530" ht="13" customHeight="1" s="74">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row>
    <row r="531" ht="13" customHeight="1" s="74">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row>
    <row r="532" ht="13" customHeight="1" s="74">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row>
    <row r="533" ht="13" customHeight="1" s="74">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row>
    <row r="534" ht="13" customHeight="1" s="7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row>
    <row r="535" ht="13" customHeight="1" s="74">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row>
    <row r="536" ht="13" customHeight="1" s="74">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row>
    <row r="537" ht="13" customHeight="1" s="74">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row>
    <row r="538" ht="13" customHeight="1" s="74">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row>
    <row r="539" ht="13" customHeight="1" s="74">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row>
    <row r="540" ht="13" customHeight="1" s="74">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row>
    <row r="541" ht="13" customHeight="1" s="74">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row>
    <row r="542" ht="13" customHeight="1" s="74">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row>
    <row r="543" ht="13" customHeight="1" s="74">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row>
    <row r="544" ht="13" customHeight="1" s="7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row>
    <row r="545" ht="13" customHeight="1" s="74">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row>
    <row r="546" ht="13" customHeight="1" s="74">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row>
    <row r="547" ht="13" customHeight="1" s="74">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row>
    <row r="548" ht="13" customHeight="1" s="74">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row>
    <row r="549" ht="13" customHeight="1" s="74">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row>
    <row r="550" ht="13" customHeight="1" s="74">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row>
    <row r="551" ht="13" customHeight="1" s="74">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row>
    <row r="552" ht="13" customHeight="1" s="74">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row>
    <row r="553" ht="13" customHeight="1" s="74">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row>
    <row r="554" ht="13" customHeight="1" s="7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row>
    <row r="555" ht="13" customHeight="1" s="74">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row>
    <row r="556" ht="13" customHeight="1" s="74">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row>
    <row r="557" ht="13" customHeight="1" s="74">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row>
    <row r="558" ht="13" customHeight="1" s="74">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row>
    <row r="559" ht="13" customHeight="1" s="74">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row>
    <row r="560" ht="13" customHeight="1" s="74">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row>
    <row r="561" ht="13" customHeight="1" s="74">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row>
    <row r="562" ht="13" customHeight="1" s="74">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row>
    <row r="563" ht="13" customHeight="1" s="74">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row>
    <row r="564" ht="13" customHeight="1" s="7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row>
    <row r="565" ht="13" customHeight="1" s="74">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row>
    <row r="566" ht="13" customHeight="1" s="74">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row>
    <row r="567" ht="13" customHeight="1" s="74">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row>
    <row r="568" ht="13" customHeight="1" s="74">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row>
    <row r="569" ht="13" customHeight="1" s="74">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row>
    <row r="570" ht="13" customHeight="1" s="74">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row>
    <row r="571" ht="13" customHeight="1" s="74">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row>
    <row r="572" ht="13" customHeight="1" s="74">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row>
    <row r="573" ht="13" customHeight="1" s="74">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row>
    <row r="574" ht="13" customHeight="1" s="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row>
    <row r="575" ht="13" customHeight="1" s="74">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row>
    <row r="576" ht="13" customHeight="1" s="74">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row>
    <row r="577" ht="13" customHeight="1" s="74">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row>
    <row r="578" ht="13" customHeight="1" s="74">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row>
    <row r="579" ht="13" customHeight="1" s="74">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row>
    <row r="580" ht="13" customHeight="1" s="74">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row>
    <row r="581" ht="13" customHeight="1" s="74">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row>
    <row r="582" ht="13" customHeight="1" s="74">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row>
    <row r="583" ht="13" customHeight="1" s="74">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row>
    <row r="584" ht="13" customHeight="1" s="7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row>
    <row r="585" ht="13" customHeight="1" s="74">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row>
    <row r="586" ht="13" customHeight="1" s="74">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row>
    <row r="587" ht="13" customHeight="1" s="74">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row>
    <row r="588" ht="13" customHeight="1" s="74">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row>
    <row r="589" ht="13" customHeight="1" s="74">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row>
    <row r="590" ht="13" customHeight="1" s="74">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row>
    <row r="591" ht="13" customHeight="1" s="74">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row>
    <row r="592" ht="13" customHeight="1" s="74">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row>
    <row r="593" ht="13" customHeight="1" s="74">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row>
    <row r="594" ht="13" customHeight="1" s="7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row>
    <row r="595" ht="13" customHeight="1" s="74">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row>
    <row r="596" ht="13" customHeight="1" s="74">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row>
    <row r="597" ht="13" customHeight="1" s="74">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row>
    <row r="598" ht="13" customHeight="1" s="74">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row>
    <row r="599" ht="13" customHeight="1" s="74">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row>
    <row r="600" ht="13" customHeight="1" s="74">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row>
    <row r="601" ht="13" customHeight="1" s="74">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row>
    <row r="602" ht="13" customHeight="1" s="74">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row>
    <row r="603" ht="13" customHeight="1" s="74">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row>
    <row r="604" ht="13" customHeight="1" s="7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row>
    <row r="605" ht="13" customHeight="1" s="74">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row>
    <row r="606" ht="13" customHeight="1" s="74">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row>
    <row r="607" ht="13" customHeight="1" s="74">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row>
    <row r="608" ht="13" customHeight="1" s="74">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row>
    <row r="609" ht="13" customHeight="1" s="74">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row>
    <row r="610" ht="13" customHeight="1" s="74">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row>
    <row r="611" ht="13" customHeight="1" s="74">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row>
    <row r="612" ht="13" customHeight="1" s="74">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row>
    <row r="613" ht="13" customHeight="1" s="74">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row>
    <row r="614" ht="13" customHeight="1" s="7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row>
    <row r="615" ht="13" customHeight="1" s="74">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row>
    <row r="616" ht="13" customHeight="1" s="74">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row>
    <row r="617" ht="13" customHeight="1" s="74">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row>
    <row r="618" ht="13" customHeight="1" s="74">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row>
    <row r="619" ht="13" customHeight="1" s="74">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row>
    <row r="620" ht="13" customHeight="1" s="74">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row>
    <row r="621" ht="13" customHeight="1" s="74">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row>
    <row r="622" ht="13" customHeight="1" s="74">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row>
    <row r="623" ht="13" customHeight="1" s="74">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row>
    <row r="624" ht="13" customHeight="1" s="7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row>
    <row r="625" ht="13" customHeight="1" s="74">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row>
    <row r="626" ht="13" customHeight="1" s="74">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row>
    <row r="627" ht="13" customHeight="1" s="74">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row>
    <row r="628" ht="13" customHeight="1" s="74">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row>
    <row r="629" ht="13" customHeight="1" s="74">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row>
    <row r="630" ht="13" customHeight="1" s="74">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row>
    <row r="631" ht="13" customHeight="1" s="74">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row>
    <row r="632" ht="13" customHeight="1" s="74">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row>
    <row r="633" ht="13" customHeight="1" s="74">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row>
    <row r="634" ht="13" customHeight="1" s="7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row>
    <row r="635" ht="13" customHeight="1" s="74">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row>
    <row r="636" ht="13" customHeight="1" s="74">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row>
    <row r="637" ht="13" customHeight="1" s="74">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row>
    <row r="638" ht="13" customHeight="1" s="74">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row>
    <row r="639" ht="13" customHeight="1" s="74">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row>
    <row r="640" ht="13" customHeight="1" s="74">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row>
    <row r="641" ht="13" customHeight="1" s="74">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row>
    <row r="642" ht="13" customHeight="1" s="74">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row>
    <row r="643" ht="13" customHeight="1" s="74">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row>
    <row r="644" ht="13" customHeight="1" s="7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row>
    <row r="645" ht="13" customHeight="1" s="74">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row>
    <row r="646" ht="13" customHeight="1" s="74">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row>
    <row r="647" ht="13" customHeight="1" s="74">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row>
    <row r="648" ht="13" customHeight="1" s="74">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row>
    <row r="649" ht="13" customHeight="1" s="74">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row>
    <row r="650" ht="13" customHeight="1" s="74">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row>
    <row r="651" ht="13" customHeight="1" s="74">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row>
    <row r="652" ht="13" customHeight="1" s="74">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row>
    <row r="653" ht="13" customHeight="1" s="74">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row>
    <row r="654" ht="13" customHeight="1" s="7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row>
    <row r="655" ht="13" customHeight="1" s="74">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row>
    <row r="656" ht="13" customHeight="1" s="74">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row>
    <row r="657" ht="13" customHeight="1" s="74">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row>
    <row r="658" ht="13" customHeight="1" s="74">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row>
    <row r="659" ht="13" customHeight="1" s="74">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row>
    <row r="660" ht="13" customHeight="1" s="74">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row>
    <row r="661" ht="13" customHeight="1" s="74">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row>
    <row r="662" ht="13" customHeight="1" s="74">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row>
    <row r="663" ht="13" customHeight="1" s="74">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row>
    <row r="664" ht="13" customHeight="1" s="7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row>
    <row r="665" ht="13" customHeight="1" s="74">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row>
    <row r="666" ht="13" customHeight="1" s="74">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row>
    <row r="667" ht="13" customHeight="1" s="74">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row>
    <row r="668" ht="13" customHeight="1" s="74">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row>
    <row r="669" ht="13" customHeight="1" s="74">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row>
    <row r="670" ht="13" customHeight="1" s="74">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row>
    <row r="671" ht="13" customHeight="1" s="74">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row>
    <row r="672" ht="13" customHeight="1" s="74">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row>
    <row r="673" ht="13" customHeight="1" s="74">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row>
    <row r="674" ht="13" customHeight="1" s="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row>
    <row r="675" ht="13" customHeight="1" s="74">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row>
    <row r="676" ht="13" customHeight="1" s="74">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row>
    <row r="677" ht="13" customHeight="1" s="74">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row>
    <row r="678" ht="13" customHeight="1" s="74">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row>
    <row r="679" ht="13" customHeight="1" s="74">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row>
    <row r="680" ht="13" customHeight="1" s="74">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row>
    <row r="681" ht="13" customHeight="1" s="74">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row>
    <row r="682" ht="13" customHeight="1" s="74">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row>
    <row r="683" ht="13" customHeight="1" s="74">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row>
    <row r="684" ht="13" customHeight="1" s="7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row>
    <row r="685" ht="13" customHeight="1" s="74">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row>
    <row r="686" ht="13" customHeight="1" s="74">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row>
    <row r="687" ht="13" customHeight="1" s="74">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row>
    <row r="688" ht="13" customHeight="1" s="74">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row>
    <row r="689" ht="13" customHeight="1" s="74">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row>
    <row r="690" ht="13" customHeight="1" s="74">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row>
    <row r="691" ht="13" customHeight="1" s="74">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row>
    <row r="692" ht="13" customHeight="1" s="74">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row>
    <row r="693" ht="13" customHeight="1" s="74">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row>
    <row r="694" ht="13" customHeight="1" s="7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row>
    <row r="695" ht="13" customHeight="1" s="74">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row>
    <row r="696" ht="13" customHeight="1" s="74">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row>
    <row r="697" ht="13" customHeight="1" s="74">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row>
    <row r="698" ht="13" customHeight="1" s="74">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row>
    <row r="699" ht="13" customHeight="1" s="74">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row>
    <row r="700" ht="13" customHeight="1" s="74">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row>
    <row r="701" ht="13" customHeight="1" s="74">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row>
    <row r="702" ht="13" customHeight="1" s="74">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row>
    <row r="703" ht="13" customHeight="1" s="74">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row>
    <row r="704" ht="13" customHeight="1" s="7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row>
    <row r="705" ht="13" customHeight="1" s="74">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row>
    <row r="706" ht="13" customHeight="1" s="74">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row>
    <row r="707" ht="13" customHeight="1" s="74">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row>
    <row r="708" ht="13" customHeight="1" s="74">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row>
    <row r="709" ht="13" customHeight="1" s="74">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row>
    <row r="710" ht="13" customHeight="1" s="74">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row>
    <row r="711" ht="13" customHeight="1" s="74">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row>
    <row r="712" ht="13" customHeight="1" s="74">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row>
    <row r="713" ht="13" customHeight="1" s="74">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row>
    <row r="714" ht="13" customHeight="1" s="7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row>
    <row r="715" ht="13" customHeight="1" s="74">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row>
    <row r="716" ht="13" customHeight="1" s="74">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row>
    <row r="717" ht="13" customHeight="1" s="74">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row>
    <row r="718" ht="13" customHeight="1" s="74">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row>
    <row r="719" ht="13" customHeight="1" s="74">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row>
    <row r="720" ht="13" customHeight="1" s="74">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row>
    <row r="721" ht="13" customHeight="1" s="74">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row>
    <row r="722" ht="13" customHeight="1" s="74">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row>
    <row r="723" ht="13" customHeight="1" s="74">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row>
    <row r="724" ht="13" customHeight="1" s="7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row>
    <row r="725" ht="13" customHeight="1" s="74">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row>
    <row r="726" ht="13" customHeight="1" s="74">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row>
    <row r="727" ht="13" customHeight="1" s="74">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row>
    <row r="728" ht="13" customHeight="1" s="74">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row>
    <row r="729" ht="13" customHeight="1" s="74">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row>
    <row r="730" ht="13" customHeight="1" s="74">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row>
    <row r="731" ht="13" customHeight="1" s="74">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row>
    <row r="732" ht="13" customHeight="1" s="74">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row>
    <row r="733" ht="13" customHeight="1" s="74">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row>
    <row r="734" ht="13" customHeight="1" s="7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row>
    <row r="735" ht="13" customHeight="1" s="74">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row>
    <row r="736" ht="13" customHeight="1" s="74">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row>
    <row r="737" ht="13" customHeight="1" s="74">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row>
    <row r="738" ht="13" customHeight="1" s="74">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row>
    <row r="739" ht="13" customHeight="1" s="74">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row>
    <row r="740" ht="13" customHeight="1" s="74">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row>
    <row r="741" ht="13" customHeight="1" s="74">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row>
    <row r="742" ht="13" customHeight="1" s="74">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row>
    <row r="743" ht="13" customHeight="1" s="74">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row>
    <row r="744" ht="13" customHeight="1" s="7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row>
    <row r="745" ht="13" customHeight="1" s="74">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row>
    <row r="746" ht="13" customHeight="1" s="74">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row>
    <row r="747" ht="13" customHeight="1" s="74">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row>
    <row r="748" ht="13" customHeight="1" s="74">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row>
    <row r="749" ht="13" customHeight="1" s="74">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row>
    <row r="750" ht="13" customHeight="1" s="74">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row>
    <row r="751" ht="13" customHeight="1" s="74">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row>
    <row r="752" ht="13" customHeight="1" s="74">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row>
    <row r="753" ht="13" customHeight="1" s="74">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row>
    <row r="754" ht="13" customHeight="1" s="7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row>
    <row r="755" ht="13" customHeight="1" s="74">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row>
    <row r="756" ht="13" customHeight="1" s="74">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row>
    <row r="757" ht="13" customHeight="1" s="74">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row>
    <row r="758" ht="13" customHeight="1" s="74">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row>
    <row r="759" ht="13" customHeight="1" s="74">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row>
    <row r="760" ht="13" customHeight="1" s="74">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row>
    <row r="761" ht="13" customHeight="1" s="74">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row>
    <row r="762" ht="13" customHeight="1" s="74">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row>
    <row r="763" ht="13" customHeight="1" s="74">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row>
    <row r="764" ht="13" customHeight="1" s="7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row>
    <row r="765" ht="13" customHeight="1" s="74">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row>
    <row r="766" ht="13" customHeight="1" s="74">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row>
    <row r="767" ht="13" customHeight="1" s="74">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row>
    <row r="768" ht="13" customHeight="1" s="74">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row>
    <row r="769" ht="13" customHeight="1" s="74">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row>
    <row r="770" ht="13" customHeight="1" s="74">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row>
    <row r="771" ht="13" customHeight="1" s="74">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row>
    <row r="772" ht="13" customHeight="1" s="74">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row>
    <row r="773" ht="13" customHeight="1" s="74">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row>
    <row r="774" ht="13" customHeight="1" s="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row>
    <row r="775" ht="13" customHeight="1" s="74">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row>
    <row r="776" ht="13" customHeight="1" s="74">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row>
    <row r="777" ht="13" customHeight="1" s="74">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row>
    <row r="778" ht="13" customHeight="1" s="74">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row>
    <row r="779" ht="13" customHeight="1" s="74">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row>
    <row r="780" ht="13" customHeight="1" s="74">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row>
    <row r="781" ht="13" customHeight="1" s="74">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row>
    <row r="782" ht="13" customHeight="1" s="74">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row>
    <row r="783" ht="13" customHeight="1" s="74">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row>
    <row r="784" ht="13" customHeight="1" s="7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row>
    <row r="785" ht="13" customHeight="1" s="74">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row>
    <row r="786" ht="13" customHeight="1" s="74">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row>
    <row r="787" ht="13" customHeight="1" s="74">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row>
    <row r="788" ht="13" customHeight="1" s="74">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row>
    <row r="789" ht="13" customHeight="1" s="74">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row>
    <row r="790" ht="13" customHeight="1" s="74">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row>
    <row r="791" ht="13" customHeight="1" s="74">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row>
    <row r="792" ht="13" customHeight="1" s="74">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row>
    <row r="793" ht="13" customHeight="1" s="74">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row>
    <row r="794" ht="13" customHeight="1" s="7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row>
    <row r="795" ht="13" customHeight="1" s="74">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row>
    <row r="796" ht="13" customHeight="1" s="74">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row>
    <row r="797" ht="13" customHeight="1" s="74">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row>
    <row r="798" ht="13" customHeight="1" s="74">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row>
    <row r="799" ht="13" customHeight="1" s="74">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row>
    <row r="800" ht="13" customHeight="1" s="74">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row>
    <row r="801" ht="13" customHeight="1" s="74">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row>
    <row r="802" ht="13" customHeight="1" s="74">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row>
    <row r="803" ht="13" customHeight="1" s="74">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row>
    <row r="804" ht="13" customHeight="1" s="7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row>
    <row r="805" ht="13" customHeight="1" s="74">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row>
    <row r="806" ht="13" customHeight="1" s="74">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row>
    <row r="807" ht="13" customHeight="1" s="74">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row>
    <row r="808" ht="13" customHeight="1" s="74">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row>
    <row r="809" ht="13" customHeight="1" s="74">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row>
    <row r="810" ht="13" customHeight="1" s="74">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row>
    <row r="811" ht="13" customHeight="1" s="74">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row>
    <row r="812" ht="13" customHeight="1" s="74">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row>
    <row r="813" ht="13" customHeight="1" s="74">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row>
    <row r="814" ht="13" customHeight="1" s="7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row>
    <row r="815" ht="13" customHeight="1" s="74">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row>
    <row r="816" ht="13" customHeight="1" s="74">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row>
    <row r="817" ht="13" customHeight="1" s="74">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row>
    <row r="818" ht="13" customHeight="1" s="74">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row>
    <row r="819" ht="13" customHeight="1" s="74">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row>
    <row r="820" ht="13" customHeight="1" s="74">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row>
    <row r="821" ht="13" customHeight="1" s="74">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row>
    <row r="822" ht="13" customHeight="1" s="74">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row>
    <row r="823" ht="13" customHeight="1" s="74">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row>
    <row r="824" ht="13" customHeight="1" s="7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row>
    <row r="825" ht="13" customHeight="1" s="74">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row>
    <row r="826" ht="13" customHeight="1" s="74">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row>
    <row r="827" ht="13" customHeight="1" s="74">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row>
    <row r="828" ht="13" customHeight="1" s="74">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row>
    <row r="829" ht="13" customHeight="1" s="74">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row>
    <row r="830" ht="13" customHeight="1" s="74">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row>
    <row r="831" ht="13" customHeight="1" s="74">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row>
    <row r="832" ht="13" customHeight="1" s="74">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row>
    <row r="833" ht="13" customHeight="1" s="74">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row>
    <row r="834" ht="13" customHeight="1" s="7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row>
    <row r="835" ht="13" customHeight="1" s="74">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row>
    <row r="836" ht="13" customHeight="1" s="74">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row>
    <row r="837" ht="13" customHeight="1" s="74">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row>
    <row r="838" ht="13" customHeight="1" s="74">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row>
    <row r="839" ht="13" customHeight="1" s="74">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row>
    <row r="840" ht="13" customHeight="1" s="74">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row>
    <row r="841" ht="13" customHeight="1" s="74">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row>
    <row r="842" ht="13" customHeight="1" s="74">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row>
    <row r="843" ht="13" customHeight="1" s="74">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row>
    <row r="844" ht="13" customHeight="1" s="7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row>
    <row r="845" ht="13" customHeight="1" s="74">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row>
    <row r="846" ht="13" customHeight="1" s="74">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row>
    <row r="847" ht="13" customHeight="1" s="74">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row>
    <row r="848" ht="13" customHeight="1" s="74">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row>
    <row r="849" ht="13" customHeight="1" s="74">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row>
    <row r="850" ht="13" customHeight="1" s="74">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row>
    <row r="851" ht="13" customHeight="1" s="74">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row>
    <row r="852" ht="13" customHeight="1" s="74">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row>
    <row r="853" ht="13" customHeight="1" s="74">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row>
    <row r="854" ht="13" customHeight="1" s="7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row>
    <row r="855" ht="13" customHeight="1" s="74">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row>
    <row r="856" ht="13" customHeight="1" s="74">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row>
    <row r="857" ht="13" customHeight="1" s="74">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row>
    <row r="858" ht="13" customHeight="1" s="74">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row>
    <row r="859" ht="13" customHeight="1" s="74">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row>
    <row r="860" ht="13" customHeight="1" s="74">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row>
    <row r="861" ht="13" customHeight="1" s="74">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row>
    <row r="862" ht="13" customHeight="1" s="74">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row>
    <row r="863" ht="13" customHeight="1" s="74">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row>
    <row r="864" ht="13" customHeight="1" s="7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row>
    <row r="865" ht="13" customHeight="1" s="74">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row>
    <row r="866" ht="13" customHeight="1" s="74">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row>
    <row r="867" ht="13" customHeight="1" s="74">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row>
    <row r="868" ht="13" customHeight="1" s="74">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row>
    <row r="869" ht="13" customHeight="1" s="74">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row>
    <row r="870" ht="13" customHeight="1" s="74">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row>
    <row r="871" ht="13" customHeight="1" s="74">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row>
    <row r="872" ht="13" customHeight="1" s="74">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row>
    <row r="873" ht="13" customHeight="1" s="74">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row>
    <row r="874" ht="13" customHeight="1" s="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row>
    <row r="875" ht="13" customHeight="1" s="74">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row>
    <row r="876" ht="13" customHeight="1" s="74">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row>
    <row r="877" ht="13" customHeight="1" s="74">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row>
    <row r="878" ht="13" customHeight="1" s="74">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row>
    <row r="879" ht="13" customHeight="1" s="74">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row>
    <row r="880" ht="13" customHeight="1" s="74">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row>
    <row r="881" ht="13" customHeight="1" s="74">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row>
    <row r="882" ht="13" customHeight="1" s="74">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row>
    <row r="883" ht="13" customHeight="1" s="74">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row>
    <row r="884" ht="13" customHeight="1" s="7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row>
    <row r="885" ht="13" customHeight="1" s="74">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row>
    <row r="886" ht="13" customHeight="1" s="74">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row>
    <row r="887" ht="13" customHeight="1" s="74">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row>
    <row r="888" ht="13" customHeight="1" s="74">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row>
    <row r="889" ht="13" customHeight="1" s="74">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row>
    <row r="890" ht="13" customHeight="1" s="74">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row>
    <row r="891" ht="13" customHeight="1" s="74">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row>
    <row r="892" ht="13" customHeight="1" s="74">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row>
    <row r="893" ht="13" customHeight="1" s="74">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row>
    <row r="894" ht="13" customHeight="1" s="7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row>
    <row r="895" ht="13" customHeight="1" s="74">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row>
    <row r="896" ht="13" customHeight="1" s="74">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row>
    <row r="897" ht="13" customHeight="1" s="74">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row>
    <row r="898" ht="13" customHeight="1" s="74">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row>
    <row r="899" ht="13" customHeight="1" s="74">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row>
    <row r="900" ht="13" customHeight="1" s="74">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row>
    <row r="901" ht="13" customHeight="1" s="74">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row>
    <row r="902" ht="13" customHeight="1" s="74">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row>
    <row r="903" ht="13" customHeight="1" s="74">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row>
    <row r="904" ht="13" customHeight="1" s="7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row>
    <row r="905" ht="13" customHeight="1" s="74">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row>
    <row r="906" ht="13" customHeight="1" s="74">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row>
    <row r="907" ht="13" customHeight="1" s="74">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row>
    <row r="908" ht="13" customHeight="1" s="74">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row>
    <row r="909" ht="13" customHeight="1" s="74">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row>
    <row r="910" ht="13" customHeight="1" s="74">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row>
    <row r="911" ht="13" customHeight="1" s="74">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row>
    <row r="912" ht="13" customHeight="1" s="74">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row>
    <row r="913" ht="13" customHeight="1" s="74">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row>
    <row r="914" ht="13" customHeight="1" s="7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row>
    <row r="915" ht="13" customHeight="1" s="74">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row>
    <row r="916" ht="13" customHeight="1" s="74">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row>
    <row r="917" ht="13" customHeight="1" s="74">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row>
    <row r="918" ht="13" customHeight="1" s="74">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row>
    <row r="919" ht="13" customHeight="1" s="74">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row>
    <row r="920" ht="13" customHeight="1" s="74">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row>
    <row r="921" ht="13" customHeight="1" s="74">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row>
    <row r="922" ht="13" customHeight="1" s="74">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row>
    <row r="923" ht="13" customHeight="1" s="74">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row>
    <row r="924" ht="13" customHeight="1" s="7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row>
    <row r="925" ht="13" customHeight="1" s="74">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row>
    <row r="926" ht="13" customHeight="1" s="74">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row>
    <row r="927" ht="13" customHeight="1" s="74">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row>
    <row r="928" ht="13" customHeight="1" s="74">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row>
    <row r="929" ht="13" customHeight="1" s="74">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row>
    <row r="930" ht="13" customHeight="1" s="74">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row>
    <row r="931" ht="13" customHeight="1" s="74">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row>
    <row r="932" ht="13" customHeight="1" s="74">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row>
    <row r="933" ht="13" customHeight="1" s="74">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row>
    <row r="934" ht="13" customHeight="1" s="7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row>
    <row r="935" ht="13" customHeight="1" s="74">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row>
    <row r="936" ht="13" customHeight="1" s="74">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row>
    <row r="937" ht="13" customHeight="1" s="74">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row>
    <row r="938" ht="13" customHeight="1" s="74">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row>
    <row r="939" ht="13" customHeight="1" s="74">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row>
    <row r="940" ht="13" customHeight="1" s="74">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row>
    <row r="941" ht="13" customHeight="1" s="74">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row>
    <row r="942" ht="13" customHeight="1" s="74">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row>
    <row r="943" ht="13" customHeight="1" s="74">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row>
    <row r="944" ht="13" customHeight="1" s="7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row>
    <row r="945" ht="13" customHeight="1" s="74">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row>
    <row r="946" ht="13" customHeight="1" s="74">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row>
    <row r="947" ht="13" customHeight="1" s="74">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row>
    <row r="948" ht="13" customHeight="1" s="74">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row>
    <row r="949" ht="13" customHeight="1" s="74">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row>
    <row r="950" ht="13" customHeight="1" s="74">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row>
    <row r="951" ht="13" customHeight="1" s="74">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row>
    <row r="952" ht="13" customHeight="1" s="74">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row>
    <row r="953" ht="13" customHeight="1" s="74">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row>
    <row r="954" ht="13" customHeight="1" s="7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row>
    <row r="955" ht="13" customHeight="1" s="74">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row>
    <row r="956" ht="13" customHeight="1" s="74">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row>
    <row r="957" ht="13" customHeight="1" s="74">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row>
    <row r="958" ht="13" customHeight="1" s="74">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row>
    <row r="959" ht="13" customHeight="1" s="74">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row>
    <row r="960" ht="13" customHeight="1" s="74">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row>
    <row r="961" ht="13" customHeight="1" s="74">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row>
    <row r="962" ht="13" customHeight="1" s="74">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row>
    <row r="963" ht="13" customHeight="1" s="74">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row>
    <row r="964" ht="13" customHeight="1" s="7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row>
    <row r="965" ht="13" customHeight="1" s="74">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row>
    <row r="966" ht="13" customHeight="1" s="74">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row>
    <row r="967" ht="13" customHeight="1" s="74">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row>
    <row r="968" ht="13" customHeight="1" s="74">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row>
    <row r="969" ht="13" customHeight="1" s="74">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row>
    <row r="970" ht="13" customHeight="1" s="74">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row>
    <row r="971" ht="13" customHeight="1" s="74">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row>
    <row r="972" ht="13" customHeight="1" s="74">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row>
    <row r="973" ht="13" customHeight="1" s="74">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row>
    <row r="974" ht="13" customHeight="1" s="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row>
    <row r="975" ht="13" customHeight="1" s="74">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row>
    <row r="976" ht="13" customHeight="1" s="74">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row>
    <row r="977" ht="13" customHeight="1" s="74">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row>
    <row r="978" ht="13" customHeight="1" s="74">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row>
    <row r="979" ht="13" customHeight="1" s="74">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row>
    <row r="980" ht="13" customHeight="1" s="74">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row>
    <row r="981" ht="13" customHeight="1" s="74">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row>
    <row r="982" ht="13" customHeight="1" s="74">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row>
    <row r="983" ht="13" customHeight="1" s="74">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row>
    <row r="984" ht="13" customHeight="1" s="7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row>
    <row r="985" ht="13" customHeight="1" s="74">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row>
    <row r="986" ht="13" customHeight="1" s="74">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row>
    <row r="987" ht="13" customHeight="1" s="74">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row>
    <row r="988" ht="13" customHeight="1" s="74">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row>
    <row r="989" ht="13" customHeight="1" s="74">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row>
    <row r="990" ht="13" customHeight="1" s="74">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row>
    <row r="991" ht="13" customHeight="1" s="74">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row>
    <row r="992" ht="13" customHeight="1" s="74">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row>
    <row r="993" ht="13" customHeight="1" s="74">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row>
    <row r="994" ht="13" customHeight="1" s="7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row>
    <row r="995" ht="13" customHeight="1" s="74">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row>
    <row r="996" ht="13" customHeight="1" s="74">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row>
    <row r="997" ht="13" customHeight="1" s="74">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row>
    <row r="998" ht="13" customHeight="1" s="74">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row>
    <row r="999" ht="13" customHeight="1" s="74">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row>
    <row r="1000" ht="13" customHeight="1" s="74">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row>
    <row r="1001" ht="13" customHeight="1" s="74">
      <c r="A1001" s="18" t="n"/>
      <c r="B1001" s="18" t="n"/>
      <c r="C1001" s="18" t="n"/>
      <c r="D1001" s="18" t="n"/>
      <c r="E1001" s="18" t="n"/>
      <c r="F1001" s="18"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row>
    <row r="1002" ht="13" customHeight="1" s="74">
      <c r="A1002" s="18" t="n"/>
      <c r="B1002" s="18" t="n"/>
      <c r="C1002" s="18" t="n"/>
      <c r="D1002" s="18" t="n"/>
      <c r="E1002" s="18" t="n"/>
      <c r="F1002" s="18" t="n"/>
      <c r="G1002" s="18" t="n"/>
      <c r="H1002" s="18" t="n"/>
      <c r="I1002" s="18" t="n"/>
      <c r="J1002" s="18" t="n"/>
      <c r="K1002" s="18" t="n"/>
      <c r="L1002" s="18" t="n"/>
      <c r="M1002" s="18"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row>
    <row r="1003" ht="13" customHeight="1" s="74">
      <c r="A1003" s="18" t="n"/>
      <c r="B1003" s="18" t="n"/>
      <c r="C1003" s="18" t="n"/>
      <c r="D1003" s="18" t="n"/>
      <c r="E1003" s="18" t="n"/>
      <c r="F1003" s="18" t="n"/>
      <c r="G1003" s="18" t="n"/>
      <c r="H1003" s="18" t="n"/>
      <c r="I1003" s="18" t="n"/>
      <c r="J1003" s="18" t="n"/>
      <c r="K1003" s="18" t="n"/>
      <c r="L1003" s="18" t="n"/>
      <c r="M1003" s="18"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row>
    <row r="1004" ht="13" customHeight="1" s="74">
      <c r="A1004" s="18" t="n"/>
      <c r="B1004" s="18" t="n"/>
      <c r="C1004" s="18" t="n"/>
      <c r="D1004" s="18" t="n"/>
      <c r="E1004" s="18" t="n"/>
      <c r="F1004" s="18" t="n"/>
      <c r="G1004" s="18" t="n"/>
      <c r="H1004" s="18" t="n"/>
      <c r="I1004" s="18" t="n"/>
      <c r="J1004" s="18" t="n"/>
      <c r="K1004" s="18" t="n"/>
      <c r="L1004" s="18" t="n"/>
      <c r="M1004" s="18"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row>
    <row r="1005" ht="13" customHeight="1" s="74">
      <c r="A1005" s="18" t="n"/>
      <c r="B1005" s="18" t="n"/>
      <c r="C1005" s="18" t="n"/>
      <c r="D1005" s="18" t="n"/>
      <c r="E1005" s="18" t="n"/>
      <c r="F1005" s="18" t="n"/>
      <c r="G1005" s="18" t="n"/>
      <c r="H1005" s="18" t="n"/>
      <c r="I1005" s="18" t="n"/>
      <c r="J1005" s="18" t="n"/>
      <c r="K1005" s="18" t="n"/>
      <c r="L1005" s="18" t="n"/>
      <c r="M1005" s="18"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row>
    <row r="1006" ht="13" customHeight="1" s="74">
      <c r="A1006" s="18" t="n"/>
      <c r="B1006" s="18" t="n"/>
      <c r="C1006" s="18" t="n"/>
      <c r="D1006" s="18" t="n"/>
      <c r="E1006" s="18" t="n"/>
      <c r="F1006" s="18" t="n"/>
      <c r="G1006" s="18" t="n"/>
      <c r="H1006" s="18" t="n"/>
      <c r="I1006" s="18" t="n"/>
      <c r="J1006" s="18" t="n"/>
      <c r="K1006" s="18" t="n"/>
      <c r="L1006" s="18" t="n"/>
      <c r="M1006" s="18"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row>
    <row r="1007" ht="13" customHeight="1" s="74">
      <c r="A1007" s="18" t="n"/>
      <c r="B1007" s="18" t="n"/>
      <c r="C1007" s="18" t="n"/>
      <c r="D1007" s="18" t="n"/>
      <c r="E1007" s="18" t="n"/>
      <c r="F1007" s="18" t="n"/>
      <c r="G1007" s="18" t="n"/>
      <c r="H1007" s="18" t="n"/>
      <c r="I1007" s="18" t="n"/>
      <c r="J1007" s="18" t="n"/>
      <c r="K1007" s="18" t="n"/>
      <c r="L1007" s="18" t="n"/>
      <c r="M1007" s="18"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row>
    <row r="1008" ht="13" customHeight="1" s="74">
      <c r="A1008" s="18" t="n"/>
      <c r="B1008" s="18" t="n"/>
      <c r="C1008" s="18" t="n"/>
      <c r="D1008" s="18" t="n"/>
      <c r="E1008" s="18" t="n"/>
      <c r="F1008" s="18" t="n"/>
      <c r="G1008" s="18" t="n"/>
      <c r="H1008" s="18" t="n"/>
      <c r="I1008" s="18" t="n"/>
      <c r="J1008" s="18" t="n"/>
      <c r="K1008" s="18" t="n"/>
      <c r="L1008" s="18" t="n"/>
      <c r="M1008" s="18"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row>
    <row r="1009" ht="13" customHeight="1" s="74">
      <c r="A1009" s="18" t="n"/>
      <c r="B1009" s="18" t="n"/>
      <c r="C1009" s="18" t="n"/>
      <c r="D1009" s="18" t="n"/>
      <c r="E1009" s="18" t="n"/>
      <c r="F1009" s="18" t="n"/>
      <c r="G1009" s="18" t="n"/>
      <c r="H1009" s="18" t="n"/>
      <c r="I1009" s="18" t="n"/>
      <c r="J1009" s="18" t="n"/>
      <c r="K1009" s="18" t="n"/>
      <c r="L1009" s="18" t="n"/>
      <c r="M1009" s="18"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row>
  </sheetData>
  <mergeCells count="3">
    <mergeCell ref="A54:B54"/>
    <mergeCell ref="A53:B53"/>
    <mergeCell ref="A55:B55"/>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E13"/>
  <sheetViews>
    <sheetView workbookViewId="0">
      <selection activeCell="A1" sqref="A1"/>
    </sheetView>
  </sheetViews>
  <sheetFormatPr baseColWidth="10" defaultColWidth="12.6640625" defaultRowHeight="15.75" customHeight="1"/>
  <sheetData>
    <row r="1" ht="15.75" customHeight="1" s="74">
      <c r="A1" s="1" t="inlineStr">
        <is>
          <t>面试问题</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15.75" customHeight="1" s="74">
      <c r="A2" s="5" t="inlineStr">
        <is>
          <t>Spinal tap v blood draw</t>
        </is>
      </c>
      <c r="B2" s="5" t="inlineStr">
        <is>
          <t>需要安排多长时间？</t>
        </is>
      </c>
      <c r="C2" s="5" t="inlineStr">
        <is>
          <t>麻醉比抽血更痛。疼痛是一种经历的现象。针头恐惧症。麻醉没有完全生效。</t>
        </is>
      </c>
    </row>
    <row r="3" ht="15.75" customHeight="1" s="74">
      <c r="B3" s="5" t="inlineStr">
        <is>
          <t>从业者的专业知识？</t>
        </is>
      </c>
      <c r="C3" s="5" t="inlineStr">
        <is>
          <t>bloody tap: mess up, get blood in the specimen. cerebro-spinal fluid leak leads to constant headache. mid-level credentialing + RN</t>
        </is>
      </c>
    </row>
    <row r="4" ht="15.75" customHeight="1" s="74">
      <c r="B4" s="5" t="inlineStr">
        <is>
          <t>程序的时间长度？</t>
        </is>
      </c>
      <c r="C4" s="5" t="inlineStr">
        <is>
          <t>设施旅行以获取有限合伙人（LP）与在药房抽血</t>
        </is>
      </c>
    </row>
    <row r="5" ht="15.75" customHeight="1" s="74">
      <c r="B5" s="5" t="inlineStr">
        <is>
          <t>支付方的成本？</t>
        </is>
      </c>
      <c r="C5" s="5" t="inlineStr">
        <is>
          <t>大多数保险会覆盖腰椎穿刺。静脉穿刺通常会被覆盖。应该能够获得腰椎穿刺的费用。</t>
        </is>
      </c>
    </row>
    <row r="6" ht="15.75" customHeight="1" s="74">
      <c r="A6" s="5" t="inlineStr">
        <is>
          <t>专利申请的价值是什么？</t>
        </is>
      </c>
      <c r="C6" s="5" t="inlineStr">
        <is>
          <t>伟大的想法应该为了公众利益而分享——chatGPT的例子，无痛LP的技术示例。花费在管理成本上的无效努力。</t>
        </is>
      </c>
    </row>
    <row r="7" ht="15.75" customHeight="1" s="74">
      <c r="A7" s="5" t="inlineStr">
        <is>
          <t>处理血样所需的机器时间？</t>
        </is>
      </c>
    </row>
    <row r="8" ht="15.75" customHeight="1" s="74">
      <c r="A8" s="5" t="inlineStr">
        <is>
          <t>医疗废物的处理方法？</t>
        </is>
      </c>
      <c r="C8" s="5" t="inlineStr">
        <is>
          <t>sharps container, incineration in special facility. same for leftover specimen</t>
        </is>
      </c>
    </row>
    <row r="9" ht="15.75" customHeight="1" s="74">
      <c r="A9" s="5" t="inlineStr">
        <is>
          <t>血样的典型运输方式（USPS）</t>
        </is>
      </c>
    </row>
    <row r="10" ht="15.75" customHeight="1" s="74">
      <c r="A10" s="5" t="inlineStr">
        <is>
          <t>血样是如何处理的？</t>
        </is>
      </c>
    </row>
    <row r="11" ht="15.75" customHeight="1" s="74">
      <c r="A11" s="5" t="inlineStr">
        <is>
          <t>血液采集工具的重量大约是多少？</t>
        </is>
      </c>
    </row>
    <row r="12" ht="15.75" customHeight="1" s="74">
      <c r="A12" s="5" t="inlineStr">
        <is>
          <t>在运输过程中，血液样本需要冷藏吗？</t>
        </is>
      </c>
      <c r="C12" s="5" t="inlineStr">
        <is>
          <t>有些是，有些不是，取决于测试。</t>
        </is>
      </c>
    </row>
    <row r="13" ht="15.75" customHeight="1" s="74">
      <c r="A13" s="2" t="inlineStr">
        <is>
          <t>需要多少血液？</t>
        </is>
      </c>
      <c r="B13" s="2" t="n"/>
      <c r="C13" s="2" t="inlineStr">
        <is>
          <t>可能不超过一管</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F56"/>
  <sheetViews>
    <sheetView workbookViewId="0">
      <selection activeCell="A1" sqref="A1"/>
    </sheetView>
  </sheetViews>
  <sheetFormatPr baseColWidth="10" defaultColWidth="12.6640625" defaultRowHeight="15.75" customHeight="1"/>
  <cols>
    <col width="27.5" customWidth="1" style="74" min="1" max="2"/>
    <col width="15" customWidth="1" style="74" min="3" max="4"/>
    <col width="20.33203125" customWidth="1" style="74" min="5" max="5"/>
    <col width="22.6640625" customWidth="1" style="74" min="7" max="7"/>
    <col width="19.1640625" customWidth="1" style="74" min="8" max="8"/>
  </cols>
  <sheetData>
    <row r="1" ht="15.75" customHeight="1" s="74">
      <c r="A1" s="1" t="inlineStr">
        <is>
          <t>可持续发展目标问卷回复：</t>
        </is>
      </c>
      <c r="B1" s="1" t="inlineStr">
        <is>
          <t>None</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15.75" customHeight="1" s="74">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row>
    <row r="3" ht="15.75" customHeight="1" s="74">
      <c r="A3" s="1" t="inlineStr">
        <is>
          <t>替代情景：</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ht="15.75" customHeight="1" s="7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row>
    <row r="5" ht="15.75" customHeight="1" s="74">
      <c r="A5" s="1" t="inlineStr">
        <is>
          <t>利益相关者</t>
        </is>
      </c>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row>
    <row r="6" ht="15.75" customHeight="1" s="74">
      <c r="A6" s="2" t="inlineStr">
        <is>
          <t>Patients</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row>
    <row r="7" ht="15.75" customHeight="1" s="74">
      <c r="A7" s="5" t="inlineStr">
        <is>
          <t>患者家庭</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row>
    <row r="8" ht="15.75" customHeight="1" s="74">
      <c r="A8" s="2" t="inlineStr">
        <is>
          <t>医疗支付方</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row>
    <row r="9" ht="15.75" customHeight="1" s="74">
      <c r="A9" s="2" t="inlineStr">
        <is>
          <t>医院/医疗服务提供者</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row>
    <row r="10" ht="15.75" customHeight="1" s="74">
      <c r="A10" s="2" t="inlineStr">
        <is>
          <t>环境</t>
        </is>
      </c>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row>
    <row r="11" ht="15.75" customHeight="1" s="74">
      <c r="A11" s="2" t="inlineStr">
        <is>
          <t>Community</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row>
    <row r="12" ht="15.75" customHeight="1" s="74">
      <c r="A12" s="2" t="n"/>
      <c r="B12" s="2" t="n"/>
      <c r="C12" s="2" t="n"/>
      <c r="D12" s="2" t="n"/>
      <c r="E12" s="14"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row>
    <row r="13" ht="15.75" customHeight="1" s="74">
      <c r="A13" s="1" t="inlineStr">
        <is>
          <t>Mechanisms</t>
        </is>
      </c>
      <c r="B13" s="1" t="n"/>
      <c r="C13" s="1" t="n"/>
      <c r="D13" s="1" t="n"/>
      <c r="E13" s="15"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row>
    <row r="14" ht="15.75" customHeight="1" s="74">
      <c r="A14" s="3" t="inlineStr">
        <is>
          <t>受影响的利益相关者</t>
        </is>
      </c>
      <c r="B14" s="3" t="inlineStr">
        <is>
          <t>Mechanism</t>
        </is>
      </c>
      <c r="C14" s="3" t="inlineStr">
        <is>
          <t>驱动变量</t>
        </is>
      </c>
      <c r="D14" s="3" t="inlineStr">
        <is>
          <t>影响类型</t>
        </is>
      </c>
      <c r="E14" s="3" t="inlineStr">
        <is>
          <t>正面/负面</t>
        </is>
      </c>
      <c r="F14" s="3" t="inlineStr">
        <is>
          <t>Method</t>
        </is>
      </c>
      <c r="G14" s="3" t="inlineStr">
        <is>
          <t>Value</t>
        </is>
      </c>
      <c r="H14" s="3" t="inlineStr">
        <is>
          <t>Unit</t>
        </is>
      </c>
      <c r="I14" s="3" t="n"/>
      <c r="J14" s="3" t="n"/>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row>
    <row r="15" ht="15.75" customHeight="1" s="74">
      <c r="A15" s="2" t="inlineStr">
        <is>
          <t>Hospitals</t>
        </is>
      </c>
      <c r="B15" s="2" t="inlineStr">
        <is>
          <t>成本节约（行政人员？）</t>
        </is>
      </c>
      <c r="C15" s="2" t="n"/>
      <c r="D15" s="2" t="n"/>
      <c r="F15" s="2" t="n"/>
      <c r="G15" s="10" t="n"/>
      <c r="J15" s="2" t="n"/>
    </row>
    <row r="16" ht="15.75" customHeight="1" s="74">
      <c r="A16" s="2" t="inlineStr">
        <is>
          <t>Patients</t>
        </is>
      </c>
      <c r="B16" s="2" t="inlineStr">
        <is>
          <t>减少等待时间（预先输入信息并直接指向最佳提供者，非紧急情况指向其他地方）</t>
        </is>
      </c>
      <c r="C16" s="2" t="n"/>
      <c r="D16" s="2" t="n"/>
      <c r="F16" s="2" t="n"/>
      <c r="G16" s="9" t="n"/>
      <c r="J16" s="2" t="n"/>
    </row>
    <row r="17" ht="15.75" customHeight="1" s="74">
      <c r="A17" s="2" t="inlineStr">
        <is>
          <t>Patients</t>
        </is>
      </c>
      <c r="B17" s="2" t="inlineStr">
        <is>
          <t>降低感染新冠病毒的风险</t>
        </is>
      </c>
      <c r="G17" s="9" t="n"/>
      <c r="J17" s="2" t="n"/>
    </row>
    <row r="18" ht="15.75" customHeight="1" s="74">
      <c r="A18" s="5" t="inlineStr">
        <is>
          <t>Patients</t>
        </is>
      </c>
      <c r="B18" s="5" t="inlineStr">
        <is>
          <t>减少压力/挫折感</t>
        </is>
      </c>
      <c r="C18" s="2" t="n"/>
      <c r="D18" s="2" t="n"/>
      <c r="F18" s="2" t="n"/>
      <c r="G18" s="10" t="n"/>
      <c r="J18" s="2" t="n"/>
    </row>
    <row r="19" ht="15.75" customHeight="1" s="74">
      <c r="A19" s="2" t="inlineStr">
        <is>
          <t>Hospitals</t>
        </is>
      </c>
      <c r="B19" s="5" t="inlineStr">
        <is>
          <t>提高急诊室效率</t>
        </is>
      </c>
      <c r="C19" s="2" t="n"/>
      <c r="D19" s="2" t="n"/>
      <c r="F19" s="2" t="n"/>
      <c r="G19" s="10" t="n"/>
      <c r="I19" s="2" t="n"/>
      <c r="J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5.75" customHeight="1" s="74">
      <c r="A20" s="5" t="inlineStr">
        <is>
          <t>环境</t>
        </is>
      </c>
      <c r="B20" s="5" t="inlineStr">
        <is>
          <t>应用的云托管</t>
        </is>
      </c>
      <c r="C20" s="2" t="n"/>
      <c r="D20" s="2" t="n"/>
      <c r="G20" s="9" t="n"/>
      <c r="I20" s="2" t="n"/>
      <c r="J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ht="15.75" customHeight="1" s="74">
      <c r="A21" s="5" t="inlineStr">
        <is>
          <t>Community</t>
        </is>
      </c>
      <c r="B21" s="5" t="inlineStr">
        <is>
          <t>税款支付</t>
        </is>
      </c>
      <c r="G21" s="9" t="n"/>
      <c r="I21" s="2" t="n"/>
      <c r="J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75" customHeight="1" s="74">
      <c r="A22" s="2" t="inlineStr">
        <is>
          <t>医院/医疗提供者</t>
        </is>
      </c>
      <c r="B22" s="5" t="inlineStr">
        <is>
          <t>减少临床医生的工作负担</t>
        </is>
      </c>
      <c r="G22" s="9" t="n"/>
      <c r="I22" s="2" t="n"/>
      <c r="J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75" customHeight="1" s="74">
      <c r="A23" s="2" t="inlineStr">
        <is>
          <t>医院/医疗服务提供者</t>
        </is>
      </c>
      <c r="B23" s="5" t="inlineStr">
        <is>
          <t>降低行政成本</t>
        </is>
      </c>
      <c r="G23" s="9" t="n"/>
      <c r="I23" s="2" t="n"/>
      <c r="J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75" customHeight="1" s="74">
      <c r="A24" s="2" t="inlineStr">
        <is>
          <t>医院/医疗服务提供者</t>
        </is>
      </c>
      <c r="B24" s="5" t="inlineStr">
        <is>
          <t>减少临床医生的倦怠感</t>
        </is>
      </c>
      <c r="C24" s="2" t="n"/>
      <c r="D24" s="2" t="n"/>
      <c r="F24" s="2" t="n"/>
      <c r="G24" s="9" t="n"/>
      <c r="I24" s="10" t="n"/>
      <c r="J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75" customHeight="1" s="74">
      <c r="A25" s="5" t="inlineStr">
        <is>
          <t>环境</t>
        </is>
      </c>
      <c r="B25" s="2" t="inlineStr">
        <is>
          <t>减少纸张使用</t>
        </is>
      </c>
      <c r="G25" s="9" t="n"/>
      <c r="I25" s="2" t="n"/>
      <c r="J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75" customHeight="1" s="74">
      <c r="A26" s="2" t="inlineStr">
        <is>
          <t>Patients</t>
        </is>
      </c>
      <c r="B26" s="2" t="inlineStr">
        <is>
          <t>数据泄露的风险</t>
        </is>
      </c>
      <c r="C26" s="2" t="n"/>
      <c r="D26" s="2" t="n"/>
      <c r="F26" s="2" t="n"/>
      <c r="G26" s="9" t="n"/>
      <c r="I26" s="10" t="n"/>
      <c r="J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5.75" customHeight="1" s="74">
      <c r="A27" s="2" t="inlineStr">
        <is>
          <t>Patients</t>
        </is>
      </c>
      <c r="B27" s="5" t="inlineStr">
        <is>
          <t>不准确预测/错误引导的风险</t>
        </is>
      </c>
      <c r="G27" s="9" t="n"/>
      <c r="J27" s="2" t="n"/>
    </row>
    <row r="28" ht="15.75" customHeight="1" s="74">
      <c r="A28" s="2" t="inlineStr">
        <is>
          <t>医疗支付方</t>
        </is>
      </c>
      <c r="B28" s="2" t="inlineStr">
        <is>
          <t>减少不必要的急诊就诊</t>
        </is>
      </c>
      <c r="C28" s="2" t="n"/>
      <c r="D28" s="2" t="n"/>
      <c r="F28" s="2" t="n"/>
      <c r="G28" s="10" t="n"/>
      <c r="H28" s="2" t="n"/>
      <c r="J28" s="2" t="n"/>
    </row>
    <row r="29" ht="15.75" customHeight="1" s="74">
      <c r="A29" s="5" t="inlineStr">
        <is>
          <t>环境</t>
        </is>
      </c>
      <c r="B29" s="5" t="inlineStr">
        <is>
          <t>Air travel</t>
        </is>
      </c>
      <c r="C29" s="5" t="inlineStr">
        <is>
          <t>航班排放</t>
        </is>
      </c>
      <c r="D29" s="5" t="inlineStr">
        <is>
          <t>Negative</t>
        </is>
      </c>
      <c r="E29" s="5" t="inlineStr">
        <is>
          <t>碳的成本</t>
        </is>
      </c>
      <c r="F29" s="9" t="n"/>
    </row>
    <row r="30" ht="15.75" customHeight="1" s="74">
      <c r="A30" s="2" t="n"/>
      <c r="B30" s="2" t="n"/>
      <c r="C30" s="2" t="n"/>
      <c r="G30" s="13" t="n"/>
      <c r="I30" s="2" t="n"/>
      <c r="J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row>
    <row r="31" ht="15.75" customHeight="1" s="7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row>
    <row r="32" ht="15.75" customHeight="1" s="7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row>
    <row r="33" ht="15.75" customHeight="1" s="74">
      <c r="A33" s="1" t="inlineStr">
        <is>
          <t>投资组合公司输入</t>
        </is>
      </c>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row>
    <row r="34" ht="15.75" customHeight="1" s="74">
      <c r="A34" s="2" t="n"/>
      <c r="B34" s="7" t="n"/>
      <c r="C34" s="2" t="n"/>
      <c r="D34" s="2" t="n"/>
      <c r="E34" s="76"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row>
    <row r="35" ht="15.75" customHeight="1" s="74">
      <c r="A35" s="2" t="n"/>
      <c r="B35" s="7" t="n"/>
      <c r="C35" s="2" t="n"/>
      <c r="D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row>
    <row r="36" ht="15.75" customHeight="1" s="74">
      <c r="A36" s="2" t="n"/>
      <c r="B36" s="7" t="n"/>
      <c r="C36" s="2" t="n"/>
      <c r="D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row>
    <row r="37" ht="15.75" customHeight="1" s="74">
      <c r="B37" s="7" t="n"/>
      <c r="C37" s="2" t="n"/>
      <c r="D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row>
    <row r="38" ht="15.75" customHeight="1" s="7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row>
    <row r="39" ht="15.75" customHeight="1" s="74">
      <c r="A39" s="8" t="inlineStr">
        <is>
          <t>Total</t>
        </is>
      </c>
      <c r="B39" s="1" t="n"/>
      <c r="C39" s="1" t="n"/>
      <c r="D39" s="1" t="n"/>
      <c r="E39" s="1" t="inlineStr">
        <is>
          <t>绝对值</t>
        </is>
      </c>
      <c r="F39" s="1" t="inlineStr">
        <is>
          <t>绝对值的百分比</t>
        </is>
      </c>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15.75" customHeight="1" s="74">
      <c r="A40" s="2" t="n"/>
      <c r="B40" s="2" t="n"/>
      <c r="C40" s="9" t="n"/>
      <c r="D40" s="9" t="n"/>
      <c r="E40" s="9" t="n"/>
      <c r="F40" s="19"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row>
    <row r="41" ht="15.75" customHeight="1" s="74">
      <c r="A41" s="2" t="n"/>
      <c r="B41" s="2" t="n"/>
      <c r="C41" s="10" t="n"/>
      <c r="D41" s="10" t="n"/>
      <c r="E41" s="10" t="n"/>
      <c r="F41" s="19"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row>
    <row r="42" ht="15.75" customHeight="1" s="74">
      <c r="C42" s="10" t="n"/>
      <c r="D42" s="10" t="n"/>
      <c r="E42" s="2" t="n"/>
      <c r="F42" s="19"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row>
    <row r="43" ht="15.75" customHeight="1" s="74">
      <c r="A43" s="2" t="n"/>
      <c r="B43" s="2" t="n"/>
      <c r="C43" s="9" t="n"/>
      <c r="D43" s="9" t="n"/>
      <c r="F43" s="22" t="n"/>
    </row>
    <row r="44" ht="15.75" customHeight="1" s="74">
      <c r="C44" s="9" t="n"/>
      <c r="D44" s="9" t="n"/>
      <c r="F44" s="22" t="n"/>
    </row>
    <row r="45" ht="15.75" customHeight="1" s="74">
      <c r="C45" s="9" t="n"/>
      <c r="D45" s="9" t="n"/>
      <c r="F45" s="22" t="n"/>
    </row>
    <row r="46" ht="15.75" customHeight="1" s="74">
      <c r="C46" s="9" t="n"/>
      <c r="D46" s="9" t="n"/>
      <c r="F46" s="22" t="n"/>
    </row>
    <row r="47" ht="15.75" customHeight="1" s="74">
      <c r="A47" s="2" t="n"/>
      <c r="B47" s="2" t="n"/>
      <c r="C47" s="9" t="n"/>
      <c r="D47" s="9" t="n"/>
      <c r="F47" s="22" t="n"/>
    </row>
    <row r="48" ht="15.75" customHeight="1" s="74">
      <c r="C48" s="9" t="n"/>
      <c r="D48" s="9" t="n"/>
      <c r="F48" s="22" t="n"/>
    </row>
    <row r="49" ht="15.75" customHeight="1" s="74">
      <c r="A49" s="2" t="n"/>
      <c r="B49" s="2" t="n"/>
      <c r="C49" s="9" t="n"/>
      <c r="D49" s="9" t="n"/>
      <c r="F49" s="22" t="n"/>
    </row>
    <row r="50" ht="15.75" customHeight="1" s="74">
      <c r="C50" s="9" t="n"/>
      <c r="D50" s="9" t="n"/>
      <c r="F50" s="22" t="n"/>
    </row>
    <row r="51" ht="15.75" customHeight="1" s="74">
      <c r="A51" s="2" t="n"/>
      <c r="B51" s="2" t="n"/>
      <c r="C51" s="9" t="n"/>
      <c r="D51" s="9" t="n"/>
      <c r="F51" s="22" t="n"/>
    </row>
    <row r="52" ht="15.75" customHeight="1" s="74">
      <c r="C52" s="9" t="n"/>
      <c r="D52" s="9" t="n"/>
      <c r="F52" s="22" t="n"/>
    </row>
    <row r="53" ht="15.75" customHeight="1" s="74">
      <c r="A53" s="2" t="n"/>
      <c r="B53" s="2" t="n"/>
      <c r="C53" s="16" t="n"/>
      <c r="D53" s="16" t="n"/>
      <c r="E53" s="17" t="n"/>
      <c r="F53" s="21" t="n"/>
    </row>
    <row r="54" ht="15.75" customHeight="1" s="7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row>
    <row r="55" ht="15.75" customHeight="1" s="74">
      <c r="C55" s="6" t="n"/>
      <c r="D55" s="6" t="n"/>
    </row>
    <row r="56" ht="15.75" customHeight="1" s="74">
      <c r="C56" s="6" t="n"/>
      <c r="D56" s="6" t="n"/>
    </row>
  </sheetData>
  <mergeCells count="1">
    <mergeCell ref="E34:E37"/>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G1022"/>
  <sheetViews>
    <sheetView topLeftCell="A5" workbookViewId="0">
      <selection activeCell="C57" sqref="C57"/>
    </sheetView>
  </sheetViews>
  <sheetFormatPr baseColWidth="10" defaultColWidth="12.6640625" defaultRowHeight="15.75" customHeight="1"/>
  <cols>
    <col width="36" customWidth="1" style="74" min="1" max="1"/>
    <col width="63.6640625" customWidth="1" style="74" min="2" max="2"/>
    <col width="47.33203125" customWidth="1" style="74" min="3" max="3"/>
    <col width="26" customWidth="1" style="74" min="4" max="4"/>
    <col width="13.6640625" customWidth="1" style="74" min="5" max="5"/>
    <col width="121.33203125" customWidth="1" style="74" min="6" max="6"/>
  </cols>
  <sheetData>
    <row r="1" ht="13" customHeight="1" s="74">
      <c r="A1" s="36" t="inlineStr">
        <is>
          <t>SECTION I</t>
        </is>
      </c>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c r="AF1" s="36" t="n"/>
      <c r="AG1" s="36" t="n"/>
    </row>
    <row r="2" ht="13" customHeight="1" s="74">
      <c r="A2" s="37" t="inlineStr">
        <is>
          <t>关键信息</t>
        </is>
      </c>
      <c r="B2" s="37" t="inlineStr">
        <is>
          <t>Cloudshelf 是一个 B2B SaaS 平台，使零售商能够无缝地将他们的电子商务系统与店内数字体验（如自助服务终端和数字标牌）集成，从而增强客户参与度并扩大实体零售空间内的产品可见性。</t>
        </is>
      </c>
      <c r="C2" s="37" t="n"/>
      <c r="D2" s="37" t="n"/>
      <c r="E2" s="37"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37" t="n"/>
      <c r="AD2" s="37" t="n"/>
      <c r="AE2" s="37" t="n"/>
      <c r="AF2" s="37" t="n"/>
      <c r="AG2" s="37" t="n"/>
    </row>
    <row r="3" ht="13" customHeight="1" s="74">
      <c r="A3" s="24" t="inlineStr">
        <is>
          <t>所涉及的可持续发展目标：</t>
        </is>
      </c>
      <c r="B3" s="24"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c r="AA3" s="24" t="n"/>
      <c r="AB3" s="24" t="n"/>
      <c r="AC3" s="24" t="n"/>
      <c r="AD3" s="24" t="n"/>
      <c r="AE3" s="24" t="n"/>
      <c r="AF3" s="24" t="n"/>
      <c r="AG3" s="24" t="n"/>
    </row>
    <row r="4" ht="13" customHeight="1" s="74">
      <c r="A4" s="24" t="inlineStr">
        <is>
          <t>Vertical:</t>
        </is>
      </c>
      <c r="B4" s="24"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row>
    <row r="5" ht="13" customHeight="1" s="74">
      <c r="A5" s="24" t="inlineStr">
        <is>
          <t>替代情景：</t>
        </is>
      </c>
      <c r="B5" s="24" t="inlineStr">
        <is>
          <t>在没有Cloudshelf的情况下，零售商要么完全放弃店内数字体验，要么依赖昂贵、零散的定制触摸屏解决方案，这些解决方案部署速度较慢，整合性差，且在提升客户体验或库存效率方面效果不佳。</t>
        </is>
      </c>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row>
    <row r="6" ht="13" customHeight="1" s="74">
      <c r="A6" s="20" t="n"/>
      <c r="B6" s="20" t="n"/>
      <c r="C6" s="20" t="n"/>
      <c r="D6" s="20" t="n"/>
      <c r="E6" s="20" t="n"/>
      <c r="F6" s="20" t="n"/>
      <c r="G6" s="20" t="n"/>
      <c r="H6" s="20" t="n"/>
      <c r="I6" s="20" t="n"/>
      <c r="J6" s="20" t="n"/>
      <c r="K6" s="20" t="n"/>
      <c r="L6" s="20" t="n"/>
      <c r="M6" s="20" t="n"/>
      <c r="N6" s="20" t="n"/>
      <c r="O6" s="20" t="n"/>
      <c r="P6" s="20" t="n"/>
      <c r="Q6" s="20" t="n"/>
      <c r="R6" s="20" t="n"/>
      <c r="S6" s="20" t="n"/>
      <c r="T6" s="20" t="n"/>
      <c r="U6" s="20" t="n"/>
      <c r="V6" s="20" t="n"/>
      <c r="W6" s="20" t="n"/>
      <c r="X6" s="20" t="n"/>
      <c r="Y6" s="20" t="n"/>
      <c r="Z6" s="20" t="n"/>
      <c r="AA6" s="20" t="n"/>
      <c r="AB6" s="20" t="n"/>
      <c r="AC6" s="20" t="n"/>
      <c r="AD6" s="20" t="n"/>
      <c r="AE6" s="20" t="n"/>
      <c r="AF6" s="20" t="n"/>
      <c r="AG6" s="20" t="n"/>
    </row>
    <row r="7" ht="13" customHeight="1" s="74">
      <c r="A7" s="37" t="inlineStr">
        <is>
          <t>利益相关者</t>
        </is>
      </c>
      <c r="B7" s="37" t="inlineStr">
        <is>
          <t>解释：谁，什么，与投资组合公司的关系性质</t>
        </is>
      </c>
      <c r="C7" s="37" t="n"/>
      <c r="D7" s="37" t="n"/>
      <c r="E7" s="37" t="n"/>
      <c r="F7" s="37" t="n"/>
      <c r="G7" s="37" t="n"/>
      <c r="H7" s="37" t="n"/>
      <c r="I7" s="37" t="n"/>
      <c r="J7" s="37" t="n"/>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row>
    <row r="8" ht="13" customHeight="1" s="74">
      <c r="A8" s="4" t="inlineStr">
        <is>
          <t>零售商（客户）</t>
        </is>
      </c>
      <c r="B8" s="4" t="inlineStr">
        <is>
          <t>使用Cloudshelf来增强店内数字互动的企业，从中受益于销售增加、库存成本降低以及比定制构建更快的部署。</t>
        </is>
      </c>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c r="AA8" s="20" t="n"/>
      <c r="AB8" s="20" t="n"/>
      <c r="AC8" s="20" t="n"/>
      <c r="AD8" s="20" t="n"/>
      <c r="AE8" s="20" t="n"/>
      <c r="AF8" s="20" t="n"/>
      <c r="AG8" s="20" t="n"/>
    </row>
    <row r="9" ht="13" customHeight="1" s="74">
      <c r="A9" s="4" t="inlineStr">
        <is>
          <t>零售员工</t>
        </is>
      </c>
      <c r="B9" s="4" t="inlineStr">
        <is>
          <t>通过Cloudshelf简化工作流程的商店员工，腾出时间进行更高价值的客户互动，并减少重复的产品检查任务。</t>
        </is>
      </c>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c r="AA9" s="20" t="n"/>
      <c r="AB9" s="20" t="n"/>
      <c r="AC9" s="20" t="n"/>
      <c r="AD9" s="20" t="n"/>
      <c r="AE9" s="20" t="n"/>
      <c r="AF9" s="20" t="n"/>
      <c r="AG9" s="20" t="n"/>
    </row>
    <row r="10" ht="13" customHeight="1" s="74">
      <c r="A10" s="4" t="inlineStr">
        <is>
          <t>最终客户</t>
        </is>
      </c>
      <c r="B10" s="4" t="inlineStr">
        <is>
          <t>在零售店购物的消费者享受更广泛的产品选择、更少的缺货情况，以及通过互动店内屏幕带来的更顺畅的购物体验。</t>
        </is>
      </c>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row>
    <row r="11" ht="13" customHeight="1" s="74">
      <c r="A11" s="4" t="inlineStr">
        <is>
          <t>零售IT团队</t>
        </is>
      </c>
      <c r="B11" s="4" t="inlineStr">
        <is>
          <t>内部技术团队受益于Cloudshelf的即插即用设置，从而减少与定制集成或平台维护相关的时间和成本。</t>
        </is>
      </c>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row>
    <row r="12" ht="13" customHeight="1" s="74">
      <c r="A12" s="4" t="inlineStr">
        <is>
          <t>环境</t>
        </is>
      </c>
      <c r="B12" s="4" t="inlineStr">
        <is>
          <t>自然生态系统间接受益于减少库存浪费、更加高效的物流以及零售运营中更低的资源使用。</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row>
    <row r="13" ht="13" customHeight="1" s="74">
      <c r="A13" s="4" t="inlineStr">
        <is>
          <t>物流服务提供商</t>
        </is>
      </c>
      <c r="B13" s="4" t="inlineStr">
        <is>
          <t>随着零售商优化库存水平并通过更智能的数字化设置减少转移，第三方仓储和运输服务的需求可能会减少。</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row>
    <row r="14" ht="13" customHeight="1" s="74">
      <c r="A14" s="4" t="inlineStr">
        <is>
          <t>遗留解决方案提供商</t>
        </is>
      </c>
      <c r="B14" s="4" t="inlineStr">
        <is>
          <t>传统触摸屏或自助服务终端系统的供应商可能会因为Cloudshelf更快、更便宜且更易于使用的SaaS平台而失去市场份额。</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row>
    <row r="15" ht="13" customHeight="1" s="74">
      <c r="A15" s="4" t="inlineStr">
        <is>
          <t>Cloudshelf 员工</t>
        </is>
      </c>
      <c r="B15" s="4" t="inlineStr">
        <is>
          <t>内部团队成员获得就业机会、技能，并与一家专注于现代化零售的目标驱动型科技公司保持一致。</t>
        </is>
      </c>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c r="AA15" s="20" t="n"/>
      <c r="AB15" s="20" t="n"/>
      <c r="AC15" s="20" t="n"/>
      <c r="AD15" s="20" t="n"/>
      <c r="AE15" s="20" t="n"/>
      <c r="AF15" s="20" t="n"/>
      <c r="AG15" s="20" t="n"/>
    </row>
    <row r="16" ht="13" customHeight="1" s="74">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row>
    <row r="17" ht="13" customHeight="1" s="74">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c r="AA17" s="20" t="n"/>
      <c r="AB17" s="20" t="n"/>
      <c r="AC17" s="20" t="n"/>
      <c r="AD17" s="20" t="n"/>
      <c r="AE17" s="20" t="n"/>
      <c r="AF17" s="20" t="n"/>
      <c r="AG17" s="20" t="n"/>
    </row>
    <row r="18" ht="13" customHeight="1" s="74">
      <c r="A18" s="38" t="inlineStr">
        <is>
          <t>SECTION II</t>
        </is>
      </c>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c r="AA18" s="38" t="n"/>
      <c r="AB18" s="38" t="n"/>
      <c r="AC18" s="38" t="n"/>
      <c r="AD18" s="38" t="n"/>
      <c r="AE18" s="38" t="n"/>
      <c r="AF18" s="38" t="n"/>
      <c r="AG18" s="38" t="n"/>
    </row>
    <row r="19" ht="13" customHeight="1" s="74">
      <c r="A19" s="39" t="inlineStr">
        <is>
          <t>Mechanisms</t>
        </is>
      </c>
      <c r="B19" s="39" t="n"/>
      <c r="C19" s="39" t="n"/>
      <c r="D19" s="39" t="n"/>
      <c r="E19" s="39" t="n"/>
      <c r="F19" s="39" t="n"/>
      <c r="G19" s="39" t="n"/>
      <c r="H19" s="39" t="n"/>
      <c r="I19" s="39" t="n"/>
      <c r="J19" s="39" t="n"/>
      <c r="K19" s="39" t="n"/>
      <c r="L19" s="39" t="n"/>
      <c r="M19" s="39" t="n"/>
      <c r="N19" s="39" t="n"/>
      <c r="O19" s="39" t="n"/>
      <c r="P19" s="39" t="n"/>
      <c r="Q19" s="39" t="n"/>
      <c r="R19" s="39" t="n"/>
      <c r="S19" s="39" t="n"/>
      <c r="T19" s="39" t="n"/>
      <c r="U19" s="39" t="n"/>
      <c r="V19" s="39" t="n"/>
      <c r="W19" s="39" t="n"/>
      <c r="X19" s="39" t="n"/>
      <c r="Y19" s="39" t="n"/>
      <c r="Z19" s="39" t="n"/>
      <c r="AA19" s="39" t="n"/>
      <c r="AB19" s="39" t="n"/>
      <c r="AC19" s="39" t="n"/>
      <c r="AD19" s="39" t="n"/>
      <c r="AE19" s="39" t="n"/>
      <c r="AF19" s="39" t="n"/>
      <c r="AG19" s="39" t="n"/>
    </row>
    <row r="20" ht="13" customHeight="1" s="74">
      <c r="A20" s="40" t="inlineStr">
        <is>
          <t>受影响的利益相关者</t>
        </is>
      </c>
      <c r="B20" s="40" t="inlineStr">
        <is>
          <t>Mechanism</t>
        </is>
      </c>
      <c r="C20" s="40" t="inlineStr">
        <is>
          <t>驱动变量</t>
        </is>
      </c>
      <c r="D20" s="40" t="inlineStr">
        <is>
          <t>影响类型</t>
        </is>
      </c>
      <c r="E20" s="40" t="inlineStr">
        <is>
          <t>积极/消极</t>
        </is>
      </c>
      <c r="F20" s="40" t="inlineStr">
        <is>
          <t>Method</t>
        </is>
      </c>
      <c r="G20" s="40" t="inlineStr">
        <is>
          <t>Value</t>
        </is>
      </c>
      <c r="H20" s="40" t="inlineStr">
        <is>
          <t>Unit</t>
        </is>
      </c>
      <c r="I20" s="40" t="inlineStr">
        <is>
          <t>可归因的百分比</t>
        </is>
      </c>
      <c r="J20" s="40" t="inlineStr">
        <is>
          <t>笔记与说明</t>
        </is>
      </c>
      <c r="K20" s="40" t="n"/>
      <c r="L20" s="40" t="n"/>
      <c r="M20" s="40" t="n"/>
      <c r="N20" s="40" t="n"/>
      <c r="O20" s="40" t="n"/>
      <c r="P20" s="40" t="n"/>
      <c r="Q20" s="40" t="n"/>
      <c r="R20" s="40" t="n"/>
      <c r="S20" s="40" t="n"/>
      <c r="T20" s="40" t="n"/>
      <c r="U20" s="40" t="n"/>
      <c r="V20" s="40" t="n"/>
      <c r="W20" s="40" t="n"/>
      <c r="X20" s="40" t="n"/>
      <c r="Y20" s="40" t="n"/>
      <c r="Z20" s="40" t="n"/>
      <c r="AA20" s="40" t="n"/>
      <c r="AB20" s="40" t="n"/>
      <c r="AC20" s="40" t="n"/>
      <c r="AD20" s="40" t="n"/>
      <c r="AE20" s="40" t="n"/>
      <c r="AF20" s="40" t="n"/>
      <c r="AG20" s="40" t="n"/>
    </row>
    <row r="21" ht="13" customHeight="1" s="74">
      <c r="A21" s="4" t="inlineStr">
        <is>
          <t>零售商（客户）</t>
        </is>
      </c>
      <c r="B21" s="4" t="inlineStr">
        <is>
          <t>降低在店内部署数字体验的成本和复杂性</t>
        </is>
      </c>
      <c r="C21" s="4" t="inlineStr">
        <is>
          <t>每家门店的部署数量 / 成本节省</t>
        </is>
      </c>
      <c r="D21" s="4" t="inlineStr">
        <is>
          <t>Financial</t>
        </is>
      </c>
      <c r="E21" s="4" t="inlineStr">
        <is>
          <t>Positive</t>
        </is>
      </c>
      <c r="F21" s="18" t="inlineStr">
        <is>
          <t>通过将传统数字标牌设置（$10,000–$25,000）与Cloudshelf的即插即用模型（$1,000–$2,000）进行比较，估计每个商店的平均成本节省。</t>
        </is>
      </c>
      <c r="G21" s="25" t="n">
        <v>43560</v>
      </c>
      <c r="H21" s="18" t="inlineStr">
        <is>
          <t>每家店的美元金额</t>
        </is>
      </c>
      <c r="I21" s="18" t="n">
        <v>100</v>
      </c>
      <c r="J21" s="18" t="inlineStr">
        <is>
          <t>根据Cloudshelf，传统标识的成本为50,000美元。Cloudshelf客户的平均成本为6,440美元（收入除以客户数量）。</t>
        </is>
      </c>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row>
    <row r="22" ht="13" customHeight="1" s="74">
      <c r="A22" s="4" t="inlineStr">
        <is>
          <t>零售商（客户）</t>
        </is>
      </c>
      <c r="B22" s="4" t="inlineStr">
        <is>
          <t>通过更好的产品可用性和可见性增加销售</t>
        </is>
      </c>
      <c r="C22" s="4" t="inlineStr">
        <is>
          <t>来自Cloudshelf屏幕的销售额提升$</t>
        </is>
      </c>
      <c r="D22" s="4" t="inlineStr">
        <is>
          <t>Financial</t>
        </is>
      </c>
      <c r="E22" s="4" t="inlineStr">
        <is>
          <t>Positive</t>
        </is>
      </c>
      <c r="F22" s="18" t="inlineStr">
        <is>
          <t>将行业基准销售提升（约32%）应用于每家门店的平均年销售额（数据将由Cloudshelf提供）</t>
        </is>
      </c>
      <c r="G22" s="25" t="n">
        <v>70400</v>
      </c>
      <c r="H22" s="18" t="inlineStr">
        <is>
          <t>每家店的美元金额</t>
        </is>
      </c>
      <c r="I22" s="18" t="n">
        <v>100</v>
      </c>
      <c r="J22" s="18" t="inlineStr">
        <is>
          <t>我们假设零售商在像Cloudshelf这样的技术上花费约2-5%的自身收入。反推计算：这将使每个客户的隐含收入为125,000美元至312,500美元。取220,000美元的中点并应用32%的提升。</t>
        </is>
      </c>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row>
    <row r="23" ht="13" customHeight="1" s="74">
      <c r="A23" s="4" t="inlineStr">
        <is>
          <t>零售商（客户）</t>
        </is>
      </c>
      <c r="B23" s="4" t="inlineStr">
        <is>
          <t>降低库存需求及相关持有成本</t>
        </is>
      </c>
      <c r="C23" s="4" t="inlineStr">
        <is>
          <t>持有的实物库存减少百分比</t>
        </is>
      </c>
      <c r="D23" s="4" t="inlineStr">
        <is>
          <t>金融 / 环境</t>
        </is>
      </c>
      <c r="E23" s="4" t="inlineStr">
        <is>
          <t>Positive</t>
        </is>
      </c>
      <c r="F23" s="18" t="inlineStr">
        <is>
          <t>通过对典型的25%库存持有成本应用15%的减少，估算每家商店的年节省额，假设平均库存价值为100,000美元。库存价值是分析师的估计。</t>
        </is>
      </c>
      <c r="G23" s="25" t="n">
        <v>3750</v>
      </c>
      <c r="H23" s="18" t="inlineStr">
        <is>
          <t>每家店的美元金额</t>
        </is>
      </c>
      <c r="I23" s="18" t="n">
        <v>100</v>
      </c>
      <c r="J23" s="18" t="inlineStr">
        <is>
          <t>假设由于数字标牌的管理改善，库存水平减少15%。库存持有成本估计为库存价值的25%。来源：NetSuite。</t>
        </is>
      </c>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row>
    <row r="24" ht="13" customHeight="1" s="74">
      <c r="A24" s="4" t="inlineStr">
        <is>
          <t>零售商（客户）</t>
        </is>
      </c>
      <c r="B24" s="4" t="inlineStr">
        <is>
          <t>减少未售出的商品和相关的浪费</t>
        </is>
      </c>
      <c r="C24" s="4" t="inlineStr">
        <is>
          <t>从废物中转移的库存单位</t>
        </is>
      </c>
      <c r="D24" s="4" t="inlineStr">
        <is>
          <t>环境</t>
        </is>
      </c>
      <c r="E24" s="4" t="inlineStr">
        <is>
          <t>Positive</t>
        </is>
      </c>
      <c r="F24" s="18" t="inlineStr">
        <is>
          <t>对每家店铺的平均年未售商品价值（$25,000）应用15%的减免率。</t>
        </is>
      </c>
      <c r="G24" s="25" t="n">
        <v>3750</v>
      </c>
      <c r="H24" s="18" t="inlineStr">
        <is>
          <t>每家店的美元金额</t>
        </is>
      </c>
      <c r="I24" s="18" t="n"/>
      <c r="J24" s="18" t="inlineStr">
        <is>
          <t>反映了较低端中小企业零售估计。假设通过Cloudshelf实现更好的库存可见性和需求匹配。来源：Manmade，EEA。影响以避免的废物价值衡量，而非转售回收。价值为分析师估计。</t>
        </is>
      </c>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row>
    <row r="25" ht="13" customHeight="1" s="74">
      <c r="A25" s="4" t="inlineStr">
        <is>
          <t>零售员工</t>
        </is>
      </c>
      <c r="B25" s="4" t="inlineStr">
        <is>
          <t>更高效的工作流程和减少低价值任务</t>
        </is>
      </c>
      <c r="C25" s="4" t="inlineStr">
        <is>
          <t>员工工时重新分配</t>
        </is>
      </c>
      <c r="D25" s="4" t="inlineStr">
        <is>
          <t>社会 / 财务</t>
        </is>
      </c>
      <c r="E25" s="4" t="inlineStr">
        <is>
          <t>Positive</t>
        </is>
      </c>
      <c r="F25" s="18" t="inlineStr">
        <is>
          <t>通过计算每年节省的260个员工小时，按每小时19.24美元的平均工资来估算每家门店的年节省金额。</t>
        </is>
      </c>
      <c r="G25" s="25" t="n">
        <v>5002</v>
      </c>
      <c r="H25" s="18" t="inlineStr">
        <is>
          <t>每家店的美元金额</t>
        </is>
      </c>
      <c r="I25" s="18" t="n">
        <v>100</v>
      </c>
      <c r="J25" s="18" t="inlineStr">
        <is>
          <t>假设由于数字标牌带来的工作流程效率，每周节省5个员工小时。</t>
        </is>
      </c>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row>
    <row r="26" ht="16" customHeight="1" s="74">
      <c r="A26" s="4" t="inlineStr">
        <is>
          <t>最终客户</t>
        </is>
      </c>
      <c r="B26" s="4" t="inlineStr">
        <is>
          <t>增加产品的可获得性和减少缺货情况</t>
        </is>
      </c>
      <c r="C26" s="4" t="inlineStr">
        <is>
          <t>通过Cloudshelf实现的成功购买数量</t>
        </is>
      </c>
      <c r="D26" s="4" t="inlineStr">
        <is>
          <t>Social</t>
        </is>
      </c>
      <c r="E26" s="4" t="inlineStr">
        <is>
          <t>Positive</t>
        </is>
      </c>
      <c r="F26" s="18" t="inlineStr">
        <is>
          <t>根据10%的缺货损失减少10%，估计每家店的恢复销售额为总店收入的1%。</t>
        </is>
      </c>
      <c r="G26" s="25" t="n">
        <v>2200</v>
      </c>
      <c r="H26" s="18" t="inlineStr">
        <is>
          <t>每家店的美元金额</t>
        </is>
      </c>
      <c r="I26" s="18" t="n">
        <v>10</v>
      </c>
      <c r="J26" s="54" t="inlineStr">
        <is>
          <t>来自Cloudshelf的门店销售数据占位符。假设10%的门店销售因缺货而损失，其中10%通过使用Cloudshelf得以恢复。</t>
        </is>
      </c>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row>
    <row r="27" ht="13" customHeight="1" s="74">
      <c r="A27" s="4" t="inlineStr">
        <is>
          <t>最终客户</t>
        </is>
      </c>
      <c r="B27" s="4" t="inlineStr">
        <is>
          <t>改善店内体验和满意度</t>
        </is>
      </c>
      <c r="C27" s="4" t="inlineStr">
        <is>
          <t>成功访问的数量 × 1 小时</t>
        </is>
      </c>
      <c r="D27" s="4" t="inlineStr">
        <is>
          <t>Social</t>
        </is>
      </c>
      <c r="E27" s="4" t="inlineStr">
        <is>
          <t>Positive</t>
        </is>
      </c>
      <c r="F27" s="18" t="inlineStr">
        <is>
          <t>估算通过避免浪费的访问（每周10次）而节省的购物者时间的价值，使用1小时 × 英国最低工资作为代理。</t>
        </is>
      </c>
      <c r="G27" s="25" t="n">
        <v>7436</v>
      </c>
      <c r="H27" s="18" t="inlineStr">
        <is>
          <t>每家店的美元金额</t>
        </is>
      </c>
      <c r="I27" s="18" t="n">
        <v>100</v>
      </c>
      <c r="J27" s="18" t="inlineStr">
        <is>
          <t>假设每周可以防止10次浪费的访问。最低工资代理 = £11.44/小时，换算成$14.30。每年节省总共520小时。这涵盖了时间和便利的情感价值。</t>
        </is>
      </c>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row>
    <row r="28" ht="13" customHeight="1" s="74">
      <c r="A28" s="4" t="inlineStr">
        <is>
          <t>零售IT团队</t>
        </is>
      </c>
      <c r="B28" s="4" t="inlineStr">
        <is>
          <t>降低集成和维护的时间和精力</t>
        </is>
      </c>
      <c r="C28" s="4" t="inlineStr">
        <is>
          <t>开发时间节省 / 设置时间</t>
        </is>
      </c>
      <c r="D28" s="4" t="inlineStr">
        <is>
          <t>Financial</t>
        </is>
      </c>
      <c r="E28" s="4" t="inlineStr">
        <is>
          <t>Positive</t>
        </is>
      </c>
      <c r="F28" s="20" t="inlineStr">
        <is>
          <t>通过计算每年节省50小时的IT工作时间，按平均工资$50/小时来估算每家门店的年节省。</t>
        </is>
      </c>
      <c r="G28" s="27" t="n">
        <v>2500</v>
      </c>
      <c r="H28" s="26" t="inlineStr">
        <is>
          <t>每家店的美元金额</t>
        </is>
      </c>
      <c r="I28" s="26" t="n">
        <v>100</v>
      </c>
      <c r="J28" s="26" t="inlineStr">
        <is>
          <t>假设由于与CloudShelf的数字标牌解决方案实现了简化的集成和维护，IT工作负载减少了50%。来源：Poppulo，Fugo。</t>
        </is>
      </c>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row>
    <row r="29" ht="13" customHeight="1" s="74">
      <c r="A29" s="4" t="inlineStr">
        <is>
          <t>环境</t>
        </is>
      </c>
      <c r="B29" s="4" t="inlineStr">
        <is>
          <t>通过更高效的零售运营减少废物和排放</t>
        </is>
      </c>
      <c r="C29" s="4" t="inlineStr">
        <is>
          <t>节省的二氧化碳吨数或转移的废物</t>
        </is>
      </c>
      <c r="D29" s="4" t="inlineStr">
        <is>
          <t>环境</t>
        </is>
      </c>
      <c r="E29" s="4" t="inlineStr">
        <is>
          <t>Positive</t>
        </is>
      </c>
      <c r="F29" s="20" t="inlineStr">
        <is>
          <t>估算每家商店每年减少5%的排放，减少512.6吨CO₂e；将节省的25,630千克乘以每千克0.236美元的社会成本。</t>
        </is>
      </c>
      <c r="G29" s="28" t="n">
        <v>6049</v>
      </c>
      <c r="H29" s="20" t="inlineStr">
        <is>
          <t>每家店的美元金额</t>
        </is>
      </c>
      <c r="I29" s="20" t="n">
        <v>100</v>
      </c>
      <c r="J29" s="20" t="inlineStr">
        <is>
          <t>基于平均服装零售店的排放：200,000千瓦时电力使用和10倍的范围3乘数。来源：碳信托、英国政府、麦肯锡、伦理消费者。使用IFVI的碳社会成本进行货币化。</t>
        </is>
      </c>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row>
    <row r="30" ht="13" customHeight="1" s="74">
      <c r="A30" s="4" t="inlineStr">
        <is>
          <t>物流供应商</t>
        </is>
      </c>
      <c r="B30" s="4" t="inlineStr">
        <is>
          <t>由于库存优化导致需求减少</t>
        </is>
      </c>
      <c r="C30" s="4" t="inlineStr">
        <is>
          <t>避免的发货/店内转移数量</t>
        </is>
      </c>
      <c r="D30" s="4" t="inlineStr">
        <is>
          <t>财务（外部）</t>
        </is>
      </c>
      <c r="E30" s="4" t="inlineStr">
        <is>
          <t>Negative</t>
        </is>
      </c>
      <c r="F30" s="20" t="inlineStr">
        <is>
          <t>估计每家门店每年减少15%的货物运输，按每次运输500美元计算，共18次运输。</t>
        </is>
      </c>
      <c r="G30" s="28" t="n">
        <v>1350</v>
      </c>
      <c r="H30" s="20" t="inlineStr">
        <is>
          <t>每家店的美元金额</t>
        </is>
      </c>
      <c r="I30" s="20" t="n">
        <v>100</v>
      </c>
      <c r="J30" s="20" t="inlineStr">
        <is>
          <t>估计每家店每年减少15%的货物运输，按每次运输500美元计算，共18次运输。</t>
        </is>
      </c>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row>
    <row r="31" ht="13" customHeight="1" s="74">
      <c r="A31" s="4" t="n"/>
      <c r="B31" s="4" t="n"/>
      <c r="C31" s="4" t="n"/>
      <c r="D31" s="4" t="n"/>
      <c r="E31" s="4" t="n"/>
      <c r="F31" s="29" t="n"/>
      <c r="G31" s="30"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c r="AB31" s="29" t="n"/>
      <c r="AC31" s="29" t="n"/>
      <c r="AD31" s="29" t="n"/>
      <c r="AE31" s="29" t="n"/>
      <c r="AF31" s="29" t="n"/>
      <c r="AG31" s="29" t="n"/>
    </row>
    <row r="32" ht="13" customHeight="1" s="74">
      <c r="A32" s="20" t="inlineStr">
        <is>
          <t>技术人员</t>
        </is>
      </c>
      <c r="B32" s="5" t="inlineStr">
        <is>
          <t>Salaries</t>
        </is>
      </c>
      <c r="C32" s="18" t="inlineStr">
        <is>
          <t>薪水已支付</t>
        </is>
      </c>
      <c r="D32" s="5" t="inlineStr">
        <is>
          <t>Financial</t>
        </is>
      </c>
      <c r="E32" s="18" t="inlineStr">
        <is>
          <t>Positive</t>
        </is>
      </c>
      <c r="F32" s="28" t="n"/>
      <c r="G32" s="28"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row>
    <row r="33" ht="13.5" customHeight="1" s="74">
      <c r="A33" s="20" t="inlineStr">
        <is>
          <t>Community</t>
        </is>
      </c>
      <c r="B33" s="18" t="inlineStr">
        <is>
          <t>Taxes paid</t>
        </is>
      </c>
      <c r="C33" s="18" t="inlineStr">
        <is>
          <t>Euros</t>
        </is>
      </c>
      <c r="D33" s="18" t="inlineStr">
        <is>
          <t>Financial</t>
        </is>
      </c>
      <c r="E33" s="18" t="inlineStr">
        <is>
          <t>Positive</t>
        </is>
      </c>
      <c r="F33" s="28" t="n"/>
      <c r="G33" s="28" t="n"/>
      <c r="H33" s="20" t="n"/>
      <c r="I33" s="20"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c r="AE33" s="20" t="n"/>
      <c r="AF33" s="20" t="n"/>
      <c r="AG33" s="20" t="n"/>
    </row>
    <row r="34" ht="13" customHeight="1" s="74">
      <c r="A34" s="18" t="inlineStr">
        <is>
          <t>环境</t>
        </is>
      </c>
      <c r="B34" s="18" t="inlineStr">
        <is>
          <t>网站运营</t>
        </is>
      </c>
      <c r="C34" s="18" t="inlineStr">
        <is>
          <t>CO2e made</t>
        </is>
      </c>
      <c r="D34" s="18" t="inlineStr">
        <is>
          <t>环境</t>
        </is>
      </c>
      <c r="E34" s="18" t="inlineStr">
        <is>
          <t>Negative</t>
        </is>
      </c>
      <c r="F34" s="18" t="n"/>
      <c r="G34" s="25"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row>
    <row r="35" ht="13" customHeight="1" s="74">
      <c r="A35" s="18" t="inlineStr">
        <is>
          <t>Flights</t>
        </is>
      </c>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row>
    <row r="36" ht="13" customHeight="1" s="74">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row>
    <row r="37" ht="13" customHeight="1" s="74">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row>
    <row r="38" ht="13" customHeight="1" s="74">
      <c r="A38" s="41" t="inlineStr">
        <is>
          <t>第三节</t>
        </is>
      </c>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41" t="n"/>
      <c r="AC38" s="41" t="n"/>
      <c r="AD38" s="41" t="n"/>
      <c r="AE38" s="41" t="n"/>
      <c r="AF38" s="41" t="n"/>
      <c r="AG38" s="41" t="n"/>
    </row>
    <row r="39" ht="13" customHeight="1" s="74">
      <c r="A39" s="42" t="inlineStr">
        <is>
          <t>投资公司输入（实际）</t>
        </is>
      </c>
      <c r="B39" s="42" t="inlineStr">
        <is>
          <t>Value</t>
        </is>
      </c>
      <c r="C39" s="42" t="inlineStr">
        <is>
          <t>Unit</t>
        </is>
      </c>
      <c r="D39" s="42" t="inlineStr">
        <is>
          <t>Note</t>
        </is>
      </c>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c r="AA39" s="42" t="n"/>
      <c r="AB39" s="42" t="n"/>
      <c r="AC39" s="42" t="n"/>
      <c r="AD39" s="42" t="n"/>
      <c r="AE39" s="42" t="n"/>
      <c r="AF39" s="42" t="n"/>
      <c r="AG39" s="42" t="n"/>
    </row>
    <row r="40" ht="13" customHeight="1" s="74">
      <c r="A40" s="4" t="inlineStr">
        <is>
          <t>年收入</t>
        </is>
      </c>
      <c r="B40" s="79" t="n">
        <v>77296</v>
      </c>
      <c r="C40" s="4" t="inlineStr">
        <is>
          <t>USD/year</t>
        </is>
      </c>
      <c r="D40" s="4" t="inlineStr">
        <is>
          <t>投资表</t>
        </is>
      </c>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c r="AA40" s="20" t="n"/>
      <c r="AB40" s="20" t="n"/>
      <c r="AC40" s="20" t="n"/>
      <c r="AD40" s="20" t="n"/>
      <c r="AE40" s="20" t="n"/>
      <c r="AF40" s="20" t="n"/>
      <c r="AG40" s="20" t="n"/>
    </row>
    <row r="41" ht="13" customHeight="1" s="74">
      <c r="A41" s="4" t="inlineStr">
        <is>
          <t>使用Cloudshelf的商店估计数量</t>
        </is>
      </c>
      <c r="B41" s="4" t="n">
        <v>12</v>
      </c>
      <c r="C41" s="4" t="inlineStr">
        <is>
          <t>Stores</t>
        </is>
      </c>
      <c r="D41" s="4" t="inlineStr">
        <is>
          <t>从将收入除以合理的每店SaaS贡献和规模参考的幻灯片中推断得出。</t>
        </is>
      </c>
    </row>
    <row r="42" ht="13" customHeight="1" s="74">
      <c r="A42" s="73" t="inlineStr">
        <is>
          <t>云架构的平均成本对客户而言</t>
        </is>
      </c>
      <c r="B42" s="20" t="n">
        <v>6250</v>
      </c>
      <c r="C42" s="20" t="inlineStr">
        <is>
          <t>per store</t>
        </is>
      </c>
      <c r="D42" s="20" t="inlineStr">
        <is>
          <t>从上面计算得出。</t>
        </is>
      </c>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c r="AA42" s="20" t="n"/>
      <c r="AB42" s="20" t="n"/>
      <c r="AC42" s="20" t="n"/>
      <c r="AD42" s="20" t="n"/>
      <c r="AE42" s="20" t="n"/>
      <c r="AF42" s="20" t="n"/>
      <c r="AG42" s="20" t="n"/>
    </row>
    <row r="43" ht="13" customHeight="1" s="74">
      <c r="A43" s="32"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row>
    <row r="44" ht="13" customHeight="1" s="74">
      <c r="A44" s="42" t="inlineStr">
        <is>
          <t>投资公司输入（如有必要，预计）</t>
        </is>
      </c>
      <c r="B44" s="42" t="inlineStr">
        <is>
          <t>Value</t>
        </is>
      </c>
      <c r="C44" s="42" t="inlineStr">
        <is>
          <t>Unit</t>
        </is>
      </c>
      <c r="D44" s="42" t="inlineStr">
        <is>
          <t>Note</t>
        </is>
      </c>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c r="AA44" s="42" t="n"/>
      <c r="AB44" s="42" t="n"/>
      <c r="AC44" s="42" t="n"/>
      <c r="AD44" s="42" t="n"/>
      <c r="AE44" s="42" t="n"/>
      <c r="AF44" s="42" t="n"/>
      <c r="AG44" s="42" t="n"/>
    </row>
    <row r="45" ht="13" customHeight="1" s="74">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c r="AD45" s="20" t="n"/>
      <c r="AE45" s="20" t="n"/>
      <c r="AF45" s="20" t="n"/>
      <c r="AG45" s="20" t="n"/>
    </row>
    <row r="46" ht="13" customHeight="1" s="74">
      <c r="A46" s="32" t="n"/>
      <c r="B46" s="20"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row>
    <row r="47" ht="13" customHeight="1" s="74">
      <c r="A47" s="43" t="inlineStr">
        <is>
          <t>SECTION IV</t>
        </is>
      </c>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c r="AC47" s="43" t="n"/>
      <c r="AD47" s="43" t="n"/>
      <c r="AE47" s="43" t="n"/>
      <c r="AF47" s="43" t="n"/>
      <c r="AG47" s="43" t="n"/>
    </row>
    <row r="48" ht="13" customHeight="1" s="74">
      <c r="A48" s="44" t="inlineStr">
        <is>
          <t>Total</t>
        </is>
      </c>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c r="AA48" s="45" t="n"/>
      <c r="AB48" s="45" t="n"/>
      <c r="AC48" s="45" t="n"/>
      <c r="AD48" s="45" t="n"/>
      <c r="AE48" s="45" t="n"/>
      <c r="AF48" s="45" t="n"/>
      <c r="AG48" s="45" t="n"/>
    </row>
    <row r="49" ht="13" customHeight="1" s="74">
      <c r="A49" s="46" t="inlineStr">
        <is>
          <t>利益相关者</t>
        </is>
      </c>
      <c r="B49" s="46" t="inlineStr">
        <is>
          <t>Mechanism</t>
        </is>
      </c>
      <c r="C49" s="46" t="inlineStr">
        <is>
          <t>Total</t>
        </is>
      </c>
      <c r="D49" s="47" t="inlineStr">
        <is>
          <t>每1美元的收入</t>
        </is>
      </c>
      <c r="E49" s="46" t="n"/>
      <c r="F49" s="48"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row>
    <row r="50" ht="13" customHeight="1" s="74">
      <c r="A50" s="4" t="inlineStr">
        <is>
          <t>零售商（客户）</t>
        </is>
      </c>
      <c r="B50" s="4" t="inlineStr">
        <is>
          <t>降低在店内部署数字体验的成本和复杂性</t>
        </is>
      </c>
      <c r="C50" s="18">
        <f>G21*B41</f>
        <v/>
      </c>
      <c r="D50" s="33">
        <f>C50/B40</f>
        <v/>
      </c>
      <c r="E50" s="18" t="n"/>
      <c r="F50" s="34"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row>
    <row r="51" ht="13" customHeight="1" s="74">
      <c r="A51" s="4" t="inlineStr">
        <is>
          <t>零售商（客户）</t>
        </is>
      </c>
      <c r="B51" s="4" t="inlineStr">
        <is>
          <t>由于产品可用性和可见性的提高，销售额增加。</t>
        </is>
      </c>
      <c r="C51" s="18">
        <f>G22*B41</f>
        <v/>
      </c>
      <c r="D51" s="33">
        <f>C51/B40</f>
        <v/>
      </c>
      <c r="E51" s="18" t="n"/>
      <c r="F51" s="34"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row>
    <row r="52" ht="13" customHeight="1" s="74">
      <c r="A52" s="4" t="inlineStr">
        <is>
          <t>零售商（客户）</t>
        </is>
      </c>
      <c r="B52" s="4" t="inlineStr">
        <is>
          <t>降低库存需求及相关持有成本</t>
        </is>
      </c>
      <c r="C52" s="18">
        <f>G23*B41</f>
        <v/>
      </c>
      <c r="D52" s="33">
        <f>C52/B40</f>
        <v/>
      </c>
      <c r="E52" s="18" t="n"/>
      <c r="F52" s="34"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row>
    <row r="53" ht="13" customHeight="1" s="74">
      <c r="A53" s="4" t="inlineStr">
        <is>
          <t>零售商（客户）</t>
        </is>
      </c>
      <c r="B53" s="4" t="inlineStr">
        <is>
          <t>减少未售出商品及相关废物</t>
        </is>
      </c>
      <c r="C53" s="18">
        <f>G24*B41</f>
        <v/>
      </c>
      <c r="D53" s="33">
        <f>C53/B40</f>
        <v/>
      </c>
      <c r="E53" s="18" t="n"/>
      <c r="F53" s="34"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row>
    <row r="54" ht="13" customHeight="1" s="74">
      <c r="A54" s="4" t="inlineStr">
        <is>
          <t>零售员工</t>
        </is>
      </c>
      <c r="B54" s="4" t="inlineStr">
        <is>
          <t>更高效的工作流程和减少低价值任务</t>
        </is>
      </c>
      <c r="C54" s="18">
        <f>G25*B41</f>
        <v/>
      </c>
      <c r="D54" s="33">
        <f>C54/B40</f>
        <v/>
      </c>
      <c r="E54" s="18" t="n"/>
      <c r="F54" s="34"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row>
    <row r="55" ht="13" customHeight="1" s="74">
      <c r="A55" s="4" t="inlineStr">
        <is>
          <t>最终客户</t>
        </is>
      </c>
      <c r="B55" s="4" t="inlineStr">
        <is>
          <t>增加了产品的可获得性，减少了缺货情况</t>
        </is>
      </c>
      <c r="C55" s="18">
        <f>G26*B41*0.1</f>
        <v/>
      </c>
      <c r="D55" s="33">
        <f>C55/B40</f>
        <v/>
      </c>
      <c r="E55" s="18" t="n"/>
      <c r="F55" s="34"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row>
    <row r="56" ht="13" customHeight="1" s="74">
      <c r="A56" s="4" t="inlineStr">
        <is>
          <t>最终客户</t>
        </is>
      </c>
      <c r="B56" s="4" t="inlineStr">
        <is>
          <t>改善店内体验和满意度</t>
        </is>
      </c>
      <c r="C56" s="18">
        <f>G27*B41</f>
        <v/>
      </c>
      <c r="D56" s="33">
        <f>C56/B40</f>
        <v/>
      </c>
      <c r="E56" s="18" t="n"/>
      <c r="F56" s="34"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row>
    <row r="57" ht="13" customHeight="1" s="74">
      <c r="A57" s="4" t="inlineStr">
        <is>
          <t>零售IT团队</t>
        </is>
      </c>
      <c r="B57" s="4" t="inlineStr">
        <is>
          <t>降低集成和维护的时间和精力</t>
        </is>
      </c>
      <c r="C57" s="18">
        <f>G28*B41</f>
        <v/>
      </c>
      <c r="D57" s="33">
        <f>C57/B40</f>
        <v/>
      </c>
      <c r="E57" s="18" t="n"/>
      <c r="F57" s="34"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row>
    <row r="58" ht="13" customHeight="1" s="74">
      <c r="E58" s="18" t="n"/>
      <c r="F58" s="34"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row>
    <row r="59" ht="13" customHeight="1" s="74">
      <c r="A59" s="4" t="inlineStr">
        <is>
          <t>物流供应商</t>
        </is>
      </c>
      <c r="B59" s="4" t="inlineStr">
        <is>
          <t>由于库存优化导致需求减少</t>
        </is>
      </c>
      <c r="C59" s="18">
        <f>G30*B41*-1</f>
        <v/>
      </c>
      <c r="D59" s="33">
        <f>C59/B40</f>
        <v/>
      </c>
      <c r="E59" s="18" t="n"/>
      <c r="F59" s="34"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row>
    <row r="60" ht="13" customHeight="1" s="74">
      <c r="A60" s="4" t="inlineStr">
        <is>
          <t>环境</t>
        </is>
      </c>
      <c r="B60" s="4" t="inlineStr">
        <is>
          <t>通过更高效的零售运营减少废物和排放</t>
        </is>
      </c>
      <c r="C60" s="18">
        <f>G29*B41</f>
        <v/>
      </c>
      <c r="D60" s="33">
        <f>C60/B40</f>
        <v/>
      </c>
      <c r="E60" s="18" t="n"/>
      <c r="F60" s="34"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row>
    <row r="61" ht="13" customHeight="1" s="74">
      <c r="A61" s="18" t="n"/>
      <c r="B61" s="18" t="n"/>
      <c r="C61" s="18" t="n"/>
      <c r="D61" s="33" t="n"/>
      <c r="E61" s="18" t="n"/>
      <c r="F61" s="34"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row>
    <row r="62" ht="13" customHeight="1" s="74">
      <c r="A62" s="18" t="n"/>
      <c r="B62" s="18" t="n"/>
      <c r="C62" s="25" t="n"/>
      <c r="D62" s="33" t="n"/>
      <c r="E62" s="25" t="n"/>
      <c r="F62" s="34"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row>
    <row r="63" ht="13" customHeight="1" s="74">
      <c r="A63" s="20" t="n"/>
      <c r="B63" s="20" t="n"/>
      <c r="C63" s="25" t="n"/>
      <c r="D63" s="33" t="n"/>
      <c r="E63" s="18" t="n"/>
      <c r="F63" s="34"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row>
    <row r="64" ht="13" customHeight="1" s="74">
      <c r="A64" s="20" t="n"/>
      <c r="B64" s="20" t="n"/>
      <c r="C64" s="18" t="n"/>
      <c r="D64" s="33" t="n"/>
      <c r="E64" s="18" t="n"/>
      <c r="F64" s="34"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row>
    <row r="65" ht="13" customHeight="1" s="74">
      <c r="A65" s="18" t="n"/>
      <c r="B65" s="18" t="n"/>
      <c r="C65" s="18" t="n"/>
      <c r="D65" s="33" t="n"/>
      <c r="E65" s="18" t="n"/>
      <c r="F65" s="34"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row>
    <row r="66" ht="13" customHeight="1" s="74">
      <c r="A66" s="71" t="inlineStr">
        <is>
          <t>Total:</t>
        </is>
      </c>
      <c r="B66" s="77" t="n"/>
      <c r="C66" s="50">
        <f>SUM(D50:D60)</f>
        <v/>
      </c>
      <c r="D66" s="50" t="n"/>
      <c r="E66" s="49" t="n"/>
      <c r="F66" s="51"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c r="AA66" s="49" t="n"/>
      <c r="AB66" s="49" t="n"/>
      <c r="AC66" s="49" t="n"/>
      <c r="AD66" s="49" t="n"/>
      <c r="AE66" s="49" t="n"/>
      <c r="AF66" s="49" t="n"/>
      <c r="AG66" s="49" t="n"/>
    </row>
    <row r="67" ht="13" customHeight="1" s="74">
      <c r="A67" s="73" t="inlineStr">
        <is>
          <t>总计，环境：</t>
        </is>
      </c>
      <c r="C67" s="33">
        <f>D60</f>
        <v/>
      </c>
      <c r="D67" s="18" t="n"/>
      <c r="E67" s="18" t="n"/>
      <c r="F67" s="34"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row>
    <row r="68" ht="13" customHeight="1" s="74">
      <c r="A68" s="75" t="inlineStr">
        <is>
          <t>总计，社交：</t>
        </is>
      </c>
      <c r="C68" s="13">
        <f>SUM(D50:D59)</f>
        <v/>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ht="13" customHeight="1" s="74">
      <c r="A69" s="1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ht="13" customHeight="1" s="74">
      <c r="A70" s="52" t="inlineStr">
        <is>
          <t>假设</t>
        </is>
      </c>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c r="AA70" s="53" t="n"/>
      <c r="AB70" s="53" t="n"/>
      <c r="AC70" s="53" t="n"/>
      <c r="AD70" s="53" t="n"/>
      <c r="AE70" s="53" t="n"/>
      <c r="AF70" s="53" t="n"/>
      <c r="AG70" s="53" t="n"/>
    </row>
    <row r="71" ht="13" customHeight="1" s="74">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row>
    <row r="72" ht="13" customHeight="1" s="74">
      <c r="A72" s="4" t="inlineStr">
        <is>
          <t>每家零售店（客户）预计收入</t>
        </is>
      </c>
      <c r="B72" s="79" t="n">
        <v>475000</v>
      </c>
      <c r="C72" s="4" t="inlineStr">
        <is>
          <t>美元/商店/年</t>
        </is>
      </c>
      <c r="D72" s="4" t="inlineStr">
        <is>
          <t>基于英国中小企业零售商基准（例如，时尚、家居用品）；来源：Statista和行业标准。</t>
        </is>
      </c>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row>
    <row r="73" ht="13" customHeight="1" s="74">
      <c r="A73" s="4" t="inlineStr">
        <is>
          <t>使用Cloudshelf每家店的预计销售提升</t>
        </is>
      </c>
      <c r="B73" s="79" t="n">
        <v>152000</v>
      </c>
      <c r="C73" s="4" t="inlineStr">
        <is>
          <t>美元/商店/年</t>
        </is>
      </c>
      <c r="D73" s="4" t="inlineStr">
        <is>
          <t>对预计客户收入应用32%的提升，因产品可见性和访问性改善。</t>
        </is>
      </c>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row>
    <row r="74" ht="13" customHeight="1" s="74">
      <c r="A74" s="18" t="n"/>
      <c r="B74" s="18" t="n"/>
      <c r="C74" s="25" t="n"/>
      <c r="D74" s="7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row>
    <row r="75" ht="13" customHeight="1" s="74">
      <c r="A75" s="18" t="n"/>
      <c r="B75" s="18" t="n"/>
      <c r="C75" s="25" t="n"/>
      <c r="D75" s="7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row>
    <row r="76" ht="13" customHeight="1" s="74">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row>
    <row r="77" ht="13" customHeight="1" s="74">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row>
    <row r="78" ht="13" customHeight="1" s="74">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row>
    <row r="79" ht="13" customHeight="1" s="74">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row>
    <row r="80" ht="13" customHeight="1" s="74">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row>
    <row r="81" ht="13" customHeight="1" s="74">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row>
    <row r="82" ht="13" customHeight="1" s="74">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row>
    <row r="83" ht="13" customHeight="1" s="74">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row>
    <row r="84" ht="13" customHeight="1" s="7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row>
    <row r="85" ht="13" customHeight="1" s="74">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row>
    <row r="86" ht="13" customHeight="1" s="74">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row>
    <row r="87" ht="13" customHeight="1" s="74">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row>
    <row r="88" ht="13" customHeight="1" s="74">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row>
    <row r="89" ht="13" customHeight="1" s="74">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row>
    <row r="90" ht="13" customHeight="1" s="74">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row>
    <row r="91" ht="13" customHeight="1" s="74">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row>
    <row r="92" ht="13" customHeight="1" s="74">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row>
    <row r="93" ht="13" customHeight="1" s="74">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row>
    <row r="94" ht="13" customHeight="1" s="7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row>
    <row r="95" ht="13" customHeight="1" s="74">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row>
    <row r="96" ht="13" customHeight="1" s="74">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row>
    <row r="97" ht="13" customHeight="1" s="74">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row>
    <row r="98" ht="13" customHeight="1" s="74">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row>
    <row r="99" ht="13" customHeight="1" s="74">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row>
    <row r="100" ht="13" customHeight="1" s="74">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row>
    <row r="101" ht="13" customHeight="1" s="74">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row>
    <row r="102" ht="13" customHeight="1" s="74">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row>
    <row r="103" ht="13" customHeight="1" s="74">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row>
    <row r="104" ht="13" customHeight="1" s="7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row>
    <row r="105" ht="13" customHeight="1" s="74">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row>
    <row r="106" ht="13" customHeight="1" s="74">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row>
    <row r="107" ht="13" customHeight="1" s="74">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row>
    <row r="108" ht="13" customHeight="1" s="74">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row>
    <row r="109" ht="13" customHeight="1" s="74">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row>
    <row r="110" ht="13" customHeight="1" s="74">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row>
    <row r="111" ht="13" customHeight="1" s="74">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row>
    <row r="112" ht="13" customHeight="1" s="74">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row>
    <row r="113" ht="13" customHeight="1" s="74">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row>
    <row r="114" ht="13" customHeight="1" s="7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row>
    <row r="115" ht="13" customHeight="1" s="74">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row>
    <row r="116" ht="13" customHeight="1" s="74">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row>
    <row r="117" ht="13" customHeight="1" s="74">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row>
    <row r="118" ht="13" customHeight="1" s="74">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row>
    <row r="119" ht="13" customHeight="1" s="74">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row>
    <row r="120" ht="13" customHeight="1" s="74">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row>
    <row r="121" ht="13" customHeight="1" s="74">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row>
    <row r="122" ht="13" customHeight="1" s="74">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row>
    <row r="123" ht="13" customHeight="1" s="74">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row>
    <row r="124" ht="13" customHeight="1" s="7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row>
    <row r="125" ht="13" customHeight="1" s="74">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row>
    <row r="126" ht="13" customHeight="1" s="74">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row>
    <row r="127" ht="13" customHeight="1" s="74">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row>
    <row r="128" ht="13" customHeight="1" s="74">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row>
    <row r="129" ht="13" customHeight="1" s="74">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row>
    <row r="130" ht="13" customHeight="1" s="74">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row>
    <row r="131" ht="13" customHeight="1" s="74">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row>
    <row r="132" ht="13" customHeight="1" s="74">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row>
    <row r="133" ht="13" customHeight="1" s="74">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row>
    <row r="134" ht="13" customHeight="1" s="7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row>
    <row r="135" ht="13" customHeight="1" s="74">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row>
    <row r="136" ht="13" customHeight="1" s="74">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row>
    <row r="137" ht="13" customHeight="1" s="74">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row>
    <row r="138" ht="13" customHeight="1" s="74">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row>
    <row r="139" ht="13" customHeight="1" s="74">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row>
    <row r="140" ht="13" customHeight="1" s="74">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row>
    <row r="141" ht="13" customHeight="1" s="74">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row>
    <row r="142" ht="13" customHeight="1" s="74">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row>
    <row r="143" ht="13" customHeight="1" s="74">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row>
    <row r="144" ht="13" customHeight="1" s="7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row>
    <row r="145" ht="13" customHeight="1" s="74">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row>
    <row r="146" ht="13" customHeight="1" s="74">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row>
    <row r="147" ht="13" customHeight="1" s="74">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row>
    <row r="148" ht="13" customHeight="1" s="74">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row>
    <row r="149" ht="13" customHeight="1" s="74">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row>
    <row r="150" ht="13" customHeight="1" s="74">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row>
    <row r="151" ht="13" customHeight="1" s="74">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row>
    <row r="152" ht="13" customHeight="1" s="74">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row>
    <row r="153" ht="13" customHeight="1" s="74">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row>
    <row r="154" ht="13" customHeight="1" s="7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row>
    <row r="155" ht="13" customHeight="1" s="74">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row>
    <row r="156" ht="13" customHeight="1" s="74">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row>
    <row r="157" ht="13" customHeight="1" s="74">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row>
    <row r="158" ht="13" customHeight="1" s="74">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row>
    <row r="159" ht="13" customHeight="1" s="74">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row>
    <row r="160" ht="13" customHeight="1" s="74">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row>
    <row r="161" ht="13" customHeight="1" s="74">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row>
    <row r="162" ht="13" customHeight="1" s="74">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row>
    <row r="163" ht="13" customHeight="1" s="74">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row>
    <row r="164" ht="13" customHeight="1" s="7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row>
    <row r="165" ht="13" customHeight="1" s="74">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row>
    <row r="166" ht="13" customHeight="1" s="74">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row>
    <row r="167" ht="13" customHeight="1" s="74">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row>
    <row r="168" ht="13" customHeight="1" s="74">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row>
    <row r="169" ht="13" customHeight="1" s="74">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row>
    <row r="170" ht="13" customHeight="1" s="74">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row>
    <row r="171" ht="13" customHeight="1" s="74">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row>
    <row r="172" ht="13" customHeight="1" s="74">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row>
    <row r="173" ht="13" customHeight="1" s="74">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row>
    <row r="174" ht="13" customHeight="1" s="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row>
    <row r="175" ht="13" customHeight="1" s="74">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row>
    <row r="176" ht="13" customHeight="1" s="74">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row>
    <row r="177" ht="13" customHeight="1" s="74">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row>
    <row r="178" ht="13" customHeight="1" s="74">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row>
    <row r="179" ht="13" customHeight="1" s="74">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row>
    <row r="180" ht="13" customHeight="1" s="74">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row>
    <row r="181" ht="13" customHeight="1" s="74">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row>
    <row r="182" ht="13" customHeight="1" s="74">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row>
    <row r="183" ht="13" customHeight="1" s="74">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row>
    <row r="184" ht="13" customHeight="1" s="7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row>
    <row r="185" ht="13" customHeight="1" s="74">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row>
    <row r="186" ht="13" customHeight="1" s="74">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row>
    <row r="187" ht="13" customHeight="1" s="74">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row>
    <row r="188" ht="13" customHeight="1" s="74">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row>
    <row r="189" ht="13" customHeight="1" s="74">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row>
    <row r="190" ht="13" customHeight="1" s="74">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row>
    <row r="191" ht="13" customHeight="1" s="74">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row>
    <row r="192" ht="13" customHeight="1" s="74">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row>
    <row r="193" ht="13" customHeight="1" s="74">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row>
    <row r="194" ht="13" customHeight="1" s="7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row>
    <row r="195" ht="13" customHeight="1" s="74">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row>
    <row r="196" ht="13" customHeight="1" s="74">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row>
    <row r="197" ht="13" customHeight="1" s="74">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row>
    <row r="198" ht="13" customHeight="1" s="74">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row>
    <row r="199" ht="13" customHeight="1" s="74">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row>
    <row r="200" ht="13" customHeight="1" s="74">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row>
    <row r="201" ht="13" customHeight="1" s="74">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row>
    <row r="202" ht="13" customHeight="1" s="74">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row>
    <row r="203" ht="13" customHeight="1" s="74">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row>
    <row r="204" ht="13" customHeight="1" s="7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row>
    <row r="205" ht="13" customHeight="1" s="74">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row>
    <row r="206" ht="13" customHeight="1" s="74">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row>
    <row r="207" ht="13" customHeight="1" s="74">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row>
    <row r="208" ht="13" customHeight="1" s="74">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row>
    <row r="209" ht="13" customHeight="1" s="74">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row>
    <row r="210" ht="13" customHeight="1" s="74">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row>
    <row r="211" ht="13" customHeight="1" s="74">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row>
    <row r="212" ht="13" customHeight="1" s="74">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row>
    <row r="213" ht="13" customHeight="1" s="74">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row>
    <row r="214" ht="13" customHeight="1" s="7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row>
    <row r="215" ht="13" customHeight="1" s="74">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row>
    <row r="216" ht="13" customHeight="1" s="74">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row>
    <row r="217" ht="13" customHeight="1" s="74">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row>
    <row r="218" ht="13" customHeight="1" s="74">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row>
    <row r="219" ht="13" customHeight="1" s="74">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row>
    <row r="220" ht="13" customHeight="1" s="74">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row>
    <row r="221" ht="13" customHeight="1" s="74">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row>
    <row r="222" ht="13" customHeight="1" s="74">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row>
    <row r="223" ht="13" customHeight="1" s="74">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row>
    <row r="224" ht="13" customHeight="1" s="7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row>
    <row r="225" ht="13" customHeight="1" s="74">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row>
    <row r="226" ht="13" customHeight="1" s="74">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row>
    <row r="227" ht="13" customHeight="1" s="74">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row>
    <row r="228" ht="13" customHeight="1" s="74">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row>
    <row r="229" ht="13" customHeight="1" s="74">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row>
    <row r="230" ht="13" customHeight="1" s="74">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row>
    <row r="231" ht="13" customHeight="1" s="74">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row>
    <row r="232" ht="13" customHeight="1" s="74">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row>
    <row r="233" ht="13" customHeight="1" s="74">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row>
    <row r="234" ht="13" customHeight="1" s="7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row>
    <row r="235" ht="13" customHeight="1" s="74">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row>
    <row r="236" ht="13" customHeight="1" s="74">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row>
    <row r="237" ht="13" customHeight="1" s="74">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row>
    <row r="238" ht="13" customHeight="1" s="74">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row>
    <row r="239" ht="13" customHeight="1" s="74">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row>
    <row r="240" ht="13" customHeight="1" s="74">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row>
    <row r="241" ht="13" customHeight="1" s="74">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row>
    <row r="242" ht="13" customHeight="1" s="74">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row>
    <row r="243" ht="13" customHeight="1" s="74">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row>
    <row r="244" ht="13" customHeight="1" s="7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row>
    <row r="245" ht="13" customHeight="1" s="74">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row>
    <row r="246" ht="13" customHeight="1" s="74">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row>
    <row r="247" ht="13" customHeight="1" s="74">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row>
    <row r="248" ht="13" customHeight="1" s="74">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row>
    <row r="249" ht="13" customHeight="1" s="74">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row>
    <row r="250" ht="13" customHeight="1" s="74">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row>
    <row r="251" ht="13" customHeight="1" s="74">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row>
    <row r="252" ht="13" customHeight="1" s="74">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row>
    <row r="253" ht="13" customHeight="1" s="74">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row>
    <row r="254" ht="13" customHeight="1" s="7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row>
    <row r="255" ht="13" customHeight="1" s="74">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row>
    <row r="256" ht="13" customHeight="1" s="74">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row>
    <row r="257" ht="13" customHeight="1" s="74">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row>
    <row r="258" ht="13" customHeight="1" s="74">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row>
    <row r="259" ht="13" customHeight="1" s="74">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row>
    <row r="260" ht="13" customHeight="1" s="74">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row>
    <row r="261" ht="13" customHeight="1" s="74">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row>
    <row r="262" ht="13" customHeight="1" s="74">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row>
    <row r="263" ht="13" customHeight="1" s="74">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row>
    <row r="264" ht="13" customHeight="1" s="7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row>
    <row r="265" ht="13" customHeight="1" s="74">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row>
    <row r="266" ht="13" customHeight="1" s="74">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row>
    <row r="267" ht="13" customHeight="1" s="74">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row>
    <row r="268" ht="13" customHeight="1" s="74">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row>
    <row r="269" ht="13" customHeight="1" s="74">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row>
    <row r="270" ht="13" customHeight="1" s="74">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row>
    <row r="271" ht="13" customHeight="1" s="74">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row>
    <row r="272" ht="13" customHeight="1" s="74">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row>
    <row r="273" ht="13" customHeight="1" s="74">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row>
    <row r="274" ht="13" customHeight="1" s="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row>
    <row r="275" ht="13" customHeight="1" s="74">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row>
    <row r="276" ht="13" customHeight="1" s="74">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row>
    <row r="277" ht="13" customHeight="1" s="74">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row>
    <row r="278" ht="13" customHeight="1" s="74">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row>
    <row r="279" ht="13" customHeight="1" s="74">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row>
    <row r="280" ht="13" customHeight="1" s="74">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row>
    <row r="281" ht="13" customHeight="1" s="74">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row>
    <row r="282" ht="13" customHeight="1" s="74">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row>
    <row r="283" ht="13" customHeight="1" s="74">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row>
    <row r="284" ht="13" customHeight="1" s="7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row>
    <row r="285" ht="13" customHeight="1" s="74">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row>
    <row r="286" ht="13" customHeight="1" s="74">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row>
    <row r="287" ht="13" customHeight="1" s="74">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row>
    <row r="288" ht="13" customHeight="1" s="74">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row>
    <row r="289" ht="13" customHeight="1" s="74">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row>
    <row r="290" ht="13" customHeight="1" s="74">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row>
    <row r="291" ht="13" customHeight="1" s="74">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row>
    <row r="292" ht="13" customHeight="1" s="74">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row>
    <row r="293" ht="13" customHeight="1" s="74">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row>
    <row r="294" ht="13" customHeight="1" s="7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row>
    <row r="295" ht="13" customHeight="1" s="74">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row>
    <row r="296" ht="13" customHeight="1" s="74">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row>
    <row r="297" ht="13" customHeight="1" s="74">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row>
    <row r="298" ht="13" customHeight="1" s="74">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row>
    <row r="299" ht="13" customHeight="1" s="74">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row>
    <row r="300" ht="13" customHeight="1" s="74">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row>
    <row r="301" ht="13" customHeight="1" s="74">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row>
    <row r="302" ht="13" customHeight="1" s="74">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row>
    <row r="303" ht="13" customHeight="1" s="74">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row>
    <row r="304" ht="13" customHeight="1" s="7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row>
    <row r="305" ht="13" customHeight="1" s="74">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row>
    <row r="306" ht="13" customHeight="1" s="74">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row>
    <row r="307" ht="13" customHeight="1" s="74">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row>
    <row r="308" ht="13" customHeight="1" s="74">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row>
    <row r="309" ht="13" customHeight="1" s="74">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row>
    <row r="310" ht="13" customHeight="1" s="74">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row>
    <row r="311" ht="13" customHeight="1" s="74">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row>
    <row r="312" ht="13" customHeight="1" s="74">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row>
    <row r="313" ht="13" customHeight="1" s="74">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row>
    <row r="314" ht="13" customHeight="1" s="7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row>
    <row r="315" ht="13" customHeight="1" s="74">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row>
    <row r="316" ht="13" customHeight="1" s="74">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row>
    <row r="317" ht="13" customHeight="1" s="74">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row>
    <row r="318" ht="13" customHeight="1" s="74">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row>
    <row r="319" ht="13" customHeight="1" s="74">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row>
    <row r="320" ht="13" customHeight="1" s="74">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row>
    <row r="321" ht="13" customHeight="1" s="74">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row>
    <row r="322" ht="13" customHeight="1" s="74">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row>
    <row r="323" ht="13" customHeight="1" s="74">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row>
    <row r="324" ht="13" customHeight="1" s="7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row>
    <row r="325" ht="13" customHeight="1" s="74">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row>
    <row r="326" ht="13" customHeight="1" s="74">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row>
    <row r="327" ht="13" customHeight="1" s="74">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row>
    <row r="328" ht="13" customHeight="1" s="74">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row>
    <row r="329" ht="13" customHeight="1" s="74">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row>
    <row r="330" ht="13" customHeight="1" s="74">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row>
    <row r="331" ht="13" customHeight="1" s="74">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row>
    <row r="332" ht="13" customHeight="1" s="74">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row>
    <row r="333" ht="13" customHeight="1" s="74">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row>
    <row r="334" ht="13" customHeight="1" s="7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row>
    <row r="335" ht="13" customHeight="1" s="74">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row>
    <row r="336" ht="13" customHeight="1" s="74">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row>
    <row r="337" ht="13" customHeight="1" s="74">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row>
    <row r="338" ht="13" customHeight="1" s="74">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row>
    <row r="339" ht="13" customHeight="1" s="74">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row>
    <row r="340" ht="13" customHeight="1" s="74">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row>
    <row r="341" ht="13" customHeight="1" s="74">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row>
    <row r="342" ht="13" customHeight="1" s="74">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row>
    <row r="343" ht="13" customHeight="1" s="74">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row>
    <row r="344" ht="13" customHeight="1" s="7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row>
    <row r="345" ht="13" customHeight="1" s="74">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row>
    <row r="346" ht="13" customHeight="1" s="74">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row>
    <row r="347" ht="13" customHeight="1" s="74">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row>
    <row r="348" ht="13" customHeight="1" s="74">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row>
    <row r="349" ht="13" customHeight="1" s="74">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row>
    <row r="350" ht="13" customHeight="1" s="74">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row>
    <row r="351" ht="13" customHeight="1" s="74">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row>
    <row r="352" ht="13" customHeight="1" s="74">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row>
    <row r="353" ht="13" customHeight="1" s="74">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row>
    <row r="354" ht="13" customHeight="1" s="7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row>
    <row r="355" ht="13" customHeight="1" s="74">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row>
    <row r="356" ht="13" customHeight="1" s="74">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row>
    <row r="357" ht="13" customHeight="1" s="74">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row>
    <row r="358" ht="13" customHeight="1" s="74">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row>
    <row r="359" ht="13" customHeight="1" s="74">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row>
    <row r="360" ht="13" customHeight="1" s="74">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row>
    <row r="361" ht="13" customHeight="1" s="74">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row>
    <row r="362" ht="13" customHeight="1" s="74">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row>
    <row r="363" ht="13" customHeight="1" s="74">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row>
    <row r="364" ht="13" customHeight="1" s="7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row>
    <row r="365" ht="13" customHeight="1" s="74">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row>
    <row r="366" ht="13" customHeight="1" s="74">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row>
    <row r="367" ht="13" customHeight="1" s="74">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row>
    <row r="368" ht="13" customHeight="1" s="74">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row>
    <row r="369" ht="13" customHeight="1" s="74">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row>
    <row r="370" ht="13" customHeight="1" s="74">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row>
    <row r="371" ht="13" customHeight="1" s="74">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row>
    <row r="372" ht="13" customHeight="1" s="74">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row>
    <row r="373" ht="13" customHeight="1" s="74">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row>
    <row r="374" ht="13" customHeight="1" s="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row>
    <row r="375" ht="13" customHeight="1" s="74">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row>
    <row r="376" ht="13" customHeight="1" s="74">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row>
    <row r="377" ht="13" customHeight="1" s="74">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row>
    <row r="378" ht="13" customHeight="1" s="74">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row>
    <row r="379" ht="13" customHeight="1" s="74">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row>
    <row r="380" ht="13" customHeight="1" s="74">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row>
    <row r="381" ht="13" customHeight="1" s="74">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row>
    <row r="382" ht="13" customHeight="1" s="74">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row>
    <row r="383" ht="13" customHeight="1" s="74">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row>
    <row r="384" ht="13" customHeight="1" s="7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row>
    <row r="385" ht="13" customHeight="1" s="74">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row>
    <row r="386" ht="13" customHeight="1" s="74">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row>
    <row r="387" ht="13" customHeight="1" s="74">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row>
    <row r="388" ht="13" customHeight="1" s="74">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row>
    <row r="389" ht="13" customHeight="1" s="74">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row>
    <row r="390" ht="13" customHeight="1" s="74">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row>
    <row r="391" ht="13" customHeight="1" s="74">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row>
    <row r="392" ht="13" customHeight="1" s="74">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row>
    <row r="393" ht="13" customHeight="1" s="74">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row>
    <row r="394" ht="13" customHeight="1" s="7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row>
    <row r="395" ht="13" customHeight="1" s="74">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row>
    <row r="396" ht="13" customHeight="1" s="74">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row>
    <row r="397" ht="13" customHeight="1" s="74">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row>
    <row r="398" ht="13" customHeight="1" s="74">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row>
    <row r="399" ht="13" customHeight="1" s="74">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row>
    <row r="400" ht="13" customHeight="1" s="74">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row>
    <row r="401" ht="13" customHeight="1" s="74">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row>
    <row r="402" ht="13" customHeight="1" s="74">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row>
    <row r="403" ht="13" customHeight="1" s="74">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row>
    <row r="404" ht="13" customHeight="1" s="7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row>
    <row r="405" ht="13" customHeight="1" s="74">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row>
    <row r="406" ht="13" customHeight="1" s="74">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row>
    <row r="407" ht="13" customHeight="1" s="74">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row>
    <row r="408" ht="13" customHeight="1" s="74">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row>
    <row r="409" ht="13" customHeight="1" s="74">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row>
    <row r="410" ht="13" customHeight="1" s="74">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row>
    <row r="411" ht="13" customHeight="1" s="74">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row>
    <row r="412" ht="13" customHeight="1" s="74">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row>
    <row r="413" ht="13" customHeight="1" s="74">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row>
    <row r="414" ht="13" customHeight="1" s="7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row>
    <row r="415" ht="13" customHeight="1" s="74">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row>
    <row r="416" ht="13" customHeight="1" s="74">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row>
    <row r="417" ht="13" customHeight="1" s="74">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row>
    <row r="418" ht="13" customHeight="1" s="74">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row>
    <row r="419" ht="13" customHeight="1" s="74">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row>
    <row r="420" ht="13" customHeight="1" s="74">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row>
    <row r="421" ht="13" customHeight="1" s="74">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row>
    <row r="422" ht="13" customHeight="1" s="74">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row>
    <row r="423" ht="13" customHeight="1" s="74">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row>
    <row r="424" ht="13" customHeight="1" s="7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row>
    <row r="425" ht="13" customHeight="1" s="74">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row>
    <row r="426" ht="13" customHeight="1" s="74">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row>
    <row r="427" ht="13" customHeight="1" s="74">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row>
    <row r="428" ht="13" customHeight="1" s="74">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row>
    <row r="429" ht="13" customHeight="1" s="74">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row>
    <row r="430" ht="13" customHeight="1" s="74">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row>
    <row r="431" ht="13" customHeight="1" s="74">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row>
    <row r="432" ht="13" customHeight="1" s="74">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row>
    <row r="433" ht="13" customHeight="1" s="74">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row>
    <row r="434" ht="13" customHeight="1" s="7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row>
    <row r="435" ht="13" customHeight="1" s="74">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row>
    <row r="436" ht="13" customHeight="1" s="74">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row>
    <row r="437" ht="13" customHeight="1" s="74">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row>
    <row r="438" ht="13" customHeight="1" s="74">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row>
    <row r="439" ht="13" customHeight="1" s="74">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row>
    <row r="440" ht="13" customHeight="1" s="74">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row>
    <row r="441" ht="13" customHeight="1" s="74">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row>
    <row r="442" ht="13" customHeight="1" s="74">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row>
    <row r="443" ht="13" customHeight="1" s="74">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row>
    <row r="444" ht="13" customHeight="1" s="7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row>
    <row r="445" ht="13" customHeight="1" s="74">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row>
    <row r="446" ht="13" customHeight="1" s="74">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row>
    <row r="447" ht="13" customHeight="1" s="74">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row>
    <row r="448" ht="13" customHeight="1" s="74">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row>
    <row r="449" ht="13" customHeight="1" s="74">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row>
    <row r="450" ht="13" customHeight="1" s="74">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row>
    <row r="451" ht="13" customHeight="1" s="74">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row>
    <row r="452" ht="13" customHeight="1" s="74">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row>
    <row r="453" ht="13" customHeight="1" s="74">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row>
    <row r="454" ht="13" customHeight="1" s="7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row>
    <row r="455" ht="13" customHeight="1" s="74">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row>
    <row r="456" ht="13" customHeight="1" s="74">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row>
    <row r="457" ht="13" customHeight="1" s="74">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row>
    <row r="458" ht="13" customHeight="1" s="74">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row>
    <row r="459" ht="13" customHeight="1" s="74">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row>
    <row r="460" ht="13" customHeight="1" s="74">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row>
    <row r="461" ht="13" customHeight="1" s="74">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row>
    <row r="462" ht="13" customHeight="1" s="74">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row>
    <row r="463" ht="13" customHeight="1" s="74">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row>
    <row r="464" ht="13" customHeight="1" s="7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row>
    <row r="465" ht="13" customHeight="1" s="74">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row>
    <row r="466" ht="13" customHeight="1" s="74">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row>
    <row r="467" ht="13" customHeight="1" s="74">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row>
    <row r="468" ht="13" customHeight="1" s="74">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row>
    <row r="469" ht="13" customHeight="1" s="74">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row>
    <row r="470" ht="13" customHeight="1" s="74">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row>
    <row r="471" ht="13" customHeight="1" s="74">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row>
    <row r="472" ht="13" customHeight="1" s="74">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row>
    <row r="473" ht="13" customHeight="1" s="74">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row>
    <row r="474" ht="13" customHeight="1" s="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row>
    <row r="475" ht="13" customHeight="1" s="74">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row>
    <row r="476" ht="13" customHeight="1" s="74">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row>
    <row r="477" ht="13" customHeight="1" s="74">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row>
    <row r="478" ht="13" customHeight="1" s="74">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row>
    <row r="479" ht="13" customHeight="1" s="74">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row>
    <row r="480" ht="13" customHeight="1" s="74">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row>
    <row r="481" ht="13" customHeight="1" s="74">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row>
    <row r="482" ht="13" customHeight="1" s="74">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row>
    <row r="483" ht="13" customHeight="1" s="74">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row>
    <row r="484" ht="13" customHeight="1" s="7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row>
    <row r="485" ht="13" customHeight="1" s="74">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row>
    <row r="486" ht="13" customHeight="1" s="74">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row>
    <row r="487" ht="13" customHeight="1" s="74">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row>
    <row r="488" ht="13" customHeight="1" s="74">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row>
    <row r="489" ht="13" customHeight="1" s="74">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row>
    <row r="490" ht="13" customHeight="1" s="74">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row>
    <row r="491" ht="13" customHeight="1" s="74">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row>
    <row r="492" ht="13" customHeight="1" s="74">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row>
    <row r="493" ht="13" customHeight="1" s="74">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row>
    <row r="494" ht="13" customHeight="1" s="7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row>
    <row r="495" ht="13" customHeight="1" s="74">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row>
    <row r="496" ht="13" customHeight="1" s="74">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row>
    <row r="497" ht="13" customHeight="1" s="74">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row>
    <row r="498" ht="13" customHeight="1" s="74">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row>
    <row r="499" ht="13" customHeight="1" s="74">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row>
    <row r="500" ht="13" customHeight="1" s="74">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row>
    <row r="501" ht="13" customHeight="1" s="74">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row>
    <row r="502" ht="13" customHeight="1" s="74">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row>
    <row r="503" ht="13" customHeight="1" s="74">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row>
    <row r="504" ht="13" customHeight="1" s="7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row>
    <row r="505" ht="13" customHeight="1" s="74">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row>
    <row r="506" ht="13" customHeight="1" s="74">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row>
    <row r="507" ht="13" customHeight="1" s="74">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row>
    <row r="508" ht="13" customHeight="1" s="74">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row>
    <row r="509" ht="13" customHeight="1" s="74">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row>
    <row r="510" ht="13" customHeight="1" s="74">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row>
    <row r="511" ht="13" customHeight="1" s="74">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row>
    <row r="512" ht="13" customHeight="1" s="74">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row>
    <row r="513" ht="13" customHeight="1" s="74">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row>
    <row r="514" ht="13" customHeight="1" s="7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row>
    <row r="515" ht="13" customHeight="1" s="74">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row>
    <row r="516" ht="13" customHeight="1" s="74">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row>
    <row r="517" ht="13" customHeight="1" s="74">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row>
    <row r="518" ht="13" customHeight="1" s="74">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row>
    <row r="519" ht="13" customHeight="1" s="74">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row>
    <row r="520" ht="13" customHeight="1" s="74">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row>
    <row r="521" ht="13" customHeight="1" s="74">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row>
    <row r="522" ht="13" customHeight="1" s="74">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row>
    <row r="523" ht="13" customHeight="1" s="74">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row>
    <row r="524" ht="13" customHeight="1" s="7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row>
    <row r="525" ht="13" customHeight="1" s="74">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row>
    <row r="526" ht="13" customHeight="1" s="74">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row>
    <row r="527" ht="13" customHeight="1" s="74">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row>
    <row r="528" ht="13" customHeight="1" s="74">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row>
    <row r="529" ht="13" customHeight="1" s="74">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row>
    <row r="530" ht="13" customHeight="1" s="74">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row>
    <row r="531" ht="13" customHeight="1" s="74">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row>
    <row r="532" ht="13" customHeight="1" s="74">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row>
    <row r="533" ht="13" customHeight="1" s="74">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row>
    <row r="534" ht="13" customHeight="1" s="7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row>
    <row r="535" ht="13" customHeight="1" s="74">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row>
    <row r="536" ht="13" customHeight="1" s="74">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row>
    <row r="537" ht="13" customHeight="1" s="74">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row>
    <row r="538" ht="13" customHeight="1" s="74">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row>
    <row r="539" ht="13" customHeight="1" s="74">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row>
    <row r="540" ht="13" customHeight="1" s="74">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row>
    <row r="541" ht="13" customHeight="1" s="74">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row>
    <row r="542" ht="13" customHeight="1" s="74">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row>
    <row r="543" ht="13" customHeight="1" s="74">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row>
    <row r="544" ht="13" customHeight="1" s="7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row>
    <row r="545" ht="13" customHeight="1" s="74">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row>
    <row r="546" ht="13" customHeight="1" s="74">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row>
    <row r="547" ht="13" customHeight="1" s="74">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row>
    <row r="548" ht="13" customHeight="1" s="74">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row>
    <row r="549" ht="13" customHeight="1" s="74">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row>
    <row r="550" ht="13" customHeight="1" s="74">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row>
    <row r="551" ht="13" customHeight="1" s="74">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row>
    <row r="552" ht="13" customHeight="1" s="74">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row>
    <row r="553" ht="13" customHeight="1" s="74">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row>
    <row r="554" ht="13" customHeight="1" s="7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row>
    <row r="555" ht="13" customHeight="1" s="74">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row>
    <row r="556" ht="13" customHeight="1" s="74">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row>
    <row r="557" ht="13" customHeight="1" s="74">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row>
    <row r="558" ht="13" customHeight="1" s="74">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row>
    <row r="559" ht="13" customHeight="1" s="74">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row>
    <row r="560" ht="13" customHeight="1" s="74">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row>
    <row r="561" ht="13" customHeight="1" s="74">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row>
    <row r="562" ht="13" customHeight="1" s="74">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row>
    <row r="563" ht="13" customHeight="1" s="74">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row>
    <row r="564" ht="13" customHeight="1" s="7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row>
    <row r="565" ht="13" customHeight="1" s="74">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row>
    <row r="566" ht="13" customHeight="1" s="74">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row>
    <row r="567" ht="13" customHeight="1" s="74">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row>
    <row r="568" ht="13" customHeight="1" s="74">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row>
    <row r="569" ht="13" customHeight="1" s="74">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row>
    <row r="570" ht="13" customHeight="1" s="74">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row>
    <row r="571" ht="13" customHeight="1" s="74">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row>
    <row r="572" ht="13" customHeight="1" s="74">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row>
    <row r="573" ht="13" customHeight="1" s="74">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row>
    <row r="574" ht="13" customHeight="1" s="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row>
    <row r="575" ht="13" customHeight="1" s="74">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row>
    <row r="576" ht="13" customHeight="1" s="74">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row>
    <row r="577" ht="13" customHeight="1" s="74">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row>
    <row r="578" ht="13" customHeight="1" s="74">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row>
    <row r="579" ht="13" customHeight="1" s="74">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row>
    <row r="580" ht="13" customHeight="1" s="74">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row>
    <row r="581" ht="13" customHeight="1" s="74">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row>
    <row r="582" ht="13" customHeight="1" s="74">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row>
    <row r="583" ht="13" customHeight="1" s="74">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row>
    <row r="584" ht="13" customHeight="1" s="7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row>
    <row r="585" ht="13" customHeight="1" s="74">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row>
    <row r="586" ht="13" customHeight="1" s="74">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row>
    <row r="587" ht="13" customHeight="1" s="74">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row>
    <row r="588" ht="13" customHeight="1" s="74">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row>
    <row r="589" ht="13" customHeight="1" s="74">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row>
    <row r="590" ht="13" customHeight="1" s="74">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row>
    <row r="591" ht="13" customHeight="1" s="74">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row>
    <row r="592" ht="13" customHeight="1" s="74">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row>
    <row r="593" ht="13" customHeight="1" s="74">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row>
    <row r="594" ht="13" customHeight="1" s="7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row>
    <row r="595" ht="13" customHeight="1" s="74">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row>
    <row r="596" ht="13" customHeight="1" s="74">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row>
    <row r="597" ht="13" customHeight="1" s="74">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row>
    <row r="598" ht="13" customHeight="1" s="74">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row>
    <row r="599" ht="13" customHeight="1" s="74">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row>
    <row r="600" ht="13" customHeight="1" s="74">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row>
    <row r="601" ht="13" customHeight="1" s="74">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row>
    <row r="602" ht="13" customHeight="1" s="74">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row>
    <row r="603" ht="13" customHeight="1" s="74">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row>
    <row r="604" ht="13" customHeight="1" s="7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row>
    <row r="605" ht="13" customHeight="1" s="74">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row>
    <row r="606" ht="13" customHeight="1" s="74">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row>
    <row r="607" ht="13" customHeight="1" s="74">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row>
    <row r="608" ht="13" customHeight="1" s="74">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row>
    <row r="609" ht="13" customHeight="1" s="74">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row>
    <row r="610" ht="13" customHeight="1" s="74">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row>
    <row r="611" ht="13" customHeight="1" s="74">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row>
    <row r="612" ht="13" customHeight="1" s="74">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row>
    <row r="613" ht="13" customHeight="1" s="74">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row>
    <row r="614" ht="13" customHeight="1" s="7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row>
    <row r="615" ht="13" customHeight="1" s="74">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row>
    <row r="616" ht="13" customHeight="1" s="74">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row>
    <row r="617" ht="13" customHeight="1" s="74">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row>
    <row r="618" ht="13" customHeight="1" s="74">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row>
    <row r="619" ht="13" customHeight="1" s="74">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row>
    <row r="620" ht="13" customHeight="1" s="74">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row>
    <row r="621" ht="13" customHeight="1" s="74">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row>
    <row r="622" ht="13" customHeight="1" s="74">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row>
    <row r="623" ht="13" customHeight="1" s="74">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row>
    <row r="624" ht="13" customHeight="1" s="7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row>
    <row r="625" ht="13" customHeight="1" s="74">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row>
    <row r="626" ht="13" customHeight="1" s="74">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row>
    <row r="627" ht="13" customHeight="1" s="74">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row>
    <row r="628" ht="13" customHeight="1" s="74">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row>
    <row r="629" ht="13" customHeight="1" s="74">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row>
    <row r="630" ht="13" customHeight="1" s="74">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row>
    <row r="631" ht="13" customHeight="1" s="74">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row>
    <row r="632" ht="13" customHeight="1" s="74">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row>
    <row r="633" ht="13" customHeight="1" s="74">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row>
    <row r="634" ht="13" customHeight="1" s="7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row>
    <row r="635" ht="13" customHeight="1" s="74">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row>
    <row r="636" ht="13" customHeight="1" s="74">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row>
    <row r="637" ht="13" customHeight="1" s="74">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row>
    <row r="638" ht="13" customHeight="1" s="74">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row>
    <row r="639" ht="13" customHeight="1" s="74">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row>
    <row r="640" ht="13" customHeight="1" s="74">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row>
    <row r="641" ht="13" customHeight="1" s="74">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row>
    <row r="642" ht="13" customHeight="1" s="74">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row>
    <row r="643" ht="13" customHeight="1" s="74">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row>
    <row r="644" ht="13" customHeight="1" s="7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row>
    <row r="645" ht="13" customHeight="1" s="74">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row>
    <row r="646" ht="13" customHeight="1" s="74">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row>
    <row r="647" ht="13" customHeight="1" s="74">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row>
    <row r="648" ht="13" customHeight="1" s="74">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row>
    <row r="649" ht="13" customHeight="1" s="74">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row>
    <row r="650" ht="13" customHeight="1" s="74">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row>
    <row r="651" ht="13" customHeight="1" s="74">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row>
    <row r="652" ht="13" customHeight="1" s="74">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row>
    <row r="653" ht="13" customHeight="1" s="74">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row>
    <row r="654" ht="13" customHeight="1" s="7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row>
    <row r="655" ht="13" customHeight="1" s="74">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row>
    <row r="656" ht="13" customHeight="1" s="74">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row>
    <row r="657" ht="13" customHeight="1" s="74">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row>
    <row r="658" ht="13" customHeight="1" s="74">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row>
    <row r="659" ht="13" customHeight="1" s="74">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row>
    <row r="660" ht="13" customHeight="1" s="74">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row>
    <row r="661" ht="13" customHeight="1" s="74">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row>
    <row r="662" ht="13" customHeight="1" s="74">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row>
    <row r="663" ht="13" customHeight="1" s="74">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row>
    <row r="664" ht="13" customHeight="1" s="7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row>
    <row r="665" ht="13" customHeight="1" s="74">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row>
    <row r="666" ht="13" customHeight="1" s="74">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row>
    <row r="667" ht="13" customHeight="1" s="74">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row>
    <row r="668" ht="13" customHeight="1" s="74">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row>
    <row r="669" ht="13" customHeight="1" s="74">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row>
    <row r="670" ht="13" customHeight="1" s="74">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row>
    <row r="671" ht="13" customHeight="1" s="74">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row>
    <row r="672" ht="13" customHeight="1" s="74">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row>
    <row r="673" ht="13" customHeight="1" s="74">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row>
    <row r="674" ht="13" customHeight="1" s="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row>
    <row r="675" ht="13" customHeight="1" s="74">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row>
    <row r="676" ht="13" customHeight="1" s="74">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row>
    <row r="677" ht="13" customHeight="1" s="74">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row>
    <row r="678" ht="13" customHeight="1" s="74">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row>
    <row r="679" ht="13" customHeight="1" s="74">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row>
    <row r="680" ht="13" customHeight="1" s="74">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row>
    <row r="681" ht="13" customHeight="1" s="74">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row>
    <row r="682" ht="13" customHeight="1" s="74">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row>
    <row r="683" ht="13" customHeight="1" s="74">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row>
    <row r="684" ht="13" customHeight="1" s="7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row>
    <row r="685" ht="13" customHeight="1" s="74">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row>
    <row r="686" ht="13" customHeight="1" s="74">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row>
    <row r="687" ht="13" customHeight="1" s="74">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row>
    <row r="688" ht="13" customHeight="1" s="74">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row>
    <row r="689" ht="13" customHeight="1" s="74">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row>
    <row r="690" ht="13" customHeight="1" s="74">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row>
    <row r="691" ht="13" customHeight="1" s="74">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row>
    <row r="692" ht="13" customHeight="1" s="74">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row>
    <row r="693" ht="13" customHeight="1" s="74">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row>
    <row r="694" ht="13" customHeight="1" s="7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row>
    <row r="695" ht="13" customHeight="1" s="74">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row>
    <row r="696" ht="13" customHeight="1" s="74">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row>
    <row r="697" ht="13" customHeight="1" s="74">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row>
    <row r="698" ht="13" customHeight="1" s="74">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row>
    <row r="699" ht="13" customHeight="1" s="74">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row>
    <row r="700" ht="13" customHeight="1" s="74">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row>
    <row r="701" ht="13" customHeight="1" s="74">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row>
    <row r="702" ht="13" customHeight="1" s="74">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row>
    <row r="703" ht="13" customHeight="1" s="74">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row>
    <row r="704" ht="13" customHeight="1" s="7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row>
    <row r="705" ht="13" customHeight="1" s="74">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row>
    <row r="706" ht="13" customHeight="1" s="74">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row>
    <row r="707" ht="13" customHeight="1" s="74">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row>
    <row r="708" ht="13" customHeight="1" s="74">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row>
    <row r="709" ht="13" customHeight="1" s="74">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row>
    <row r="710" ht="13" customHeight="1" s="74">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row>
    <row r="711" ht="13" customHeight="1" s="74">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row>
    <row r="712" ht="13" customHeight="1" s="74">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row>
    <row r="713" ht="13" customHeight="1" s="74">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row>
    <row r="714" ht="13" customHeight="1" s="7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row>
    <row r="715" ht="13" customHeight="1" s="74">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row>
    <row r="716" ht="13" customHeight="1" s="74">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row>
    <row r="717" ht="13" customHeight="1" s="74">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row>
    <row r="718" ht="13" customHeight="1" s="74">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row>
    <row r="719" ht="13" customHeight="1" s="74">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row>
    <row r="720" ht="13" customHeight="1" s="74">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row>
    <row r="721" ht="13" customHeight="1" s="74">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row>
    <row r="722" ht="13" customHeight="1" s="74">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row>
    <row r="723" ht="13" customHeight="1" s="74">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row>
    <row r="724" ht="13" customHeight="1" s="7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row>
    <row r="725" ht="13" customHeight="1" s="74">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row>
    <row r="726" ht="13" customHeight="1" s="74">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row>
    <row r="727" ht="13" customHeight="1" s="74">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row>
    <row r="728" ht="13" customHeight="1" s="74">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row>
    <row r="729" ht="13" customHeight="1" s="74">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row>
    <row r="730" ht="13" customHeight="1" s="74">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row>
    <row r="731" ht="13" customHeight="1" s="74">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row>
    <row r="732" ht="13" customHeight="1" s="74">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row>
    <row r="733" ht="13" customHeight="1" s="74">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row>
    <row r="734" ht="13" customHeight="1" s="7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row>
    <row r="735" ht="13" customHeight="1" s="74">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row>
    <row r="736" ht="13" customHeight="1" s="74">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row>
    <row r="737" ht="13" customHeight="1" s="74">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row>
    <row r="738" ht="13" customHeight="1" s="74">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row>
    <row r="739" ht="13" customHeight="1" s="74">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row>
    <row r="740" ht="13" customHeight="1" s="74">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row>
    <row r="741" ht="13" customHeight="1" s="74">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row>
    <row r="742" ht="13" customHeight="1" s="74">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row>
    <row r="743" ht="13" customHeight="1" s="74">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row>
    <row r="744" ht="13" customHeight="1" s="7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row>
    <row r="745" ht="13" customHeight="1" s="74">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row>
    <row r="746" ht="13" customHeight="1" s="74">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row>
    <row r="747" ht="13" customHeight="1" s="74">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row>
    <row r="748" ht="13" customHeight="1" s="74">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row>
    <row r="749" ht="13" customHeight="1" s="74">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row>
    <row r="750" ht="13" customHeight="1" s="74">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row>
    <row r="751" ht="13" customHeight="1" s="74">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row>
    <row r="752" ht="13" customHeight="1" s="74">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row>
    <row r="753" ht="13" customHeight="1" s="74">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row>
    <row r="754" ht="13" customHeight="1" s="7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row>
    <row r="755" ht="13" customHeight="1" s="74">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row>
    <row r="756" ht="13" customHeight="1" s="74">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row>
    <row r="757" ht="13" customHeight="1" s="74">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row>
    <row r="758" ht="13" customHeight="1" s="74">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row>
    <row r="759" ht="13" customHeight="1" s="74">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row>
    <row r="760" ht="13" customHeight="1" s="74">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row>
    <row r="761" ht="13" customHeight="1" s="74">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row>
    <row r="762" ht="13" customHeight="1" s="74">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row>
    <row r="763" ht="13" customHeight="1" s="74">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row>
    <row r="764" ht="13" customHeight="1" s="7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row>
    <row r="765" ht="13" customHeight="1" s="74">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row>
    <row r="766" ht="13" customHeight="1" s="74">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row>
    <row r="767" ht="13" customHeight="1" s="74">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row>
    <row r="768" ht="13" customHeight="1" s="74">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row>
    <row r="769" ht="13" customHeight="1" s="74">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row>
    <row r="770" ht="13" customHeight="1" s="74">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row>
    <row r="771" ht="13" customHeight="1" s="74">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row>
    <row r="772" ht="13" customHeight="1" s="74">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row>
    <row r="773" ht="13" customHeight="1" s="74">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row>
    <row r="774" ht="13" customHeight="1" s="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row>
    <row r="775" ht="13" customHeight="1" s="74">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row>
    <row r="776" ht="13" customHeight="1" s="74">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row>
    <row r="777" ht="13" customHeight="1" s="74">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row>
    <row r="778" ht="13" customHeight="1" s="74">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row>
    <row r="779" ht="13" customHeight="1" s="74">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row>
    <row r="780" ht="13" customHeight="1" s="74">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row>
    <row r="781" ht="13" customHeight="1" s="74">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row>
    <row r="782" ht="13" customHeight="1" s="74">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row>
    <row r="783" ht="13" customHeight="1" s="74">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row>
    <row r="784" ht="13" customHeight="1" s="7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row>
    <row r="785" ht="13" customHeight="1" s="74">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row>
    <row r="786" ht="13" customHeight="1" s="74">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row>
    <row r="787" ht="13" customHeight="1" s="74">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row>
    <row r="788" ht="13" customHeight="1" s="74">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row>
    <row r="789" ht="13" customHeight="1" s="74">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row>
    <row r="790" ht="13" customHeight="1" s="74">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row>
    <row r="791" ht="13" customHeight="1" s="74">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row>
    <row r="792" ht="13" customHeight="1" s="74">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row>
    <row r="793" ht="13" customHeight="1" s="74">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row>
    <row r="794" ht="13" customHeight="1" s="7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row>
    <row r="795" ht="13" customHeight="1" s="74">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row>
    <row r="796" ht="13" customHeight="1" s="74">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row>
    <row r="797" ht="13" customHeight="1" s="74">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row>
    <row r="798" ht="13" customHeight="1" s="74">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row>
    <row r="799" ht="13" customHeight="1" s="74">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row>
    <row r="800" ht="13" customHeight="1" s="74">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row>
    <row r="801" ht="13" customHeight="1" s="74">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row>
    <row r="802" ht="13" customHeight="1" s="74">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row>
    <row r="803" ht="13" customHeight="1" s="74">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row>
    <row r="804" ht="13" customHeight="1" s="7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row>
    <row r="805" ht="13" customHeight="1" s="74">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row>
    <row r="806" ht="13" customHeight="1" s="74">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row>
    <row r="807" ht="13" customHeight="1" s="74">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row>
    <row r="808" ht="13" customHeight="1" s="74">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row>
    <row r="809" ht="13" customHeight="1" s="74">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row>
    <row r="810" ht="13" customHeight="1" s="74">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row>
    <row r="811" ht="13" customHeight="1" s="74">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row>
    <row r="812" ht="13" customHeight="1" s="74">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row>
    <row r="813" ht="13" customHeight="1" s="74">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row>
    <row r="814" ht="13" customHeight="1" s="7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row>
    <row r="815" ht="13" customHeight="1" s="74">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row>
    <row r="816" ht="13" customHeight="1" s="74">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row>
    <row r="817" ht="13" customHeight="1" s="74">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row>
    <row r="818" ht="13" customHeight="1" s="74">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row>
    <row r="819" ht="13" customHeight="1" s="74">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row>
    <row r="820" ht="13" customHeight="1" s="74">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row>
    <row r="821" ht="13" customHeight="1" s="74">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row>
    <row r="822" ht="13" customHeight="1" s="74">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row>
    <row r="823" ht="13" customHeight="1" s="74">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row>
    <row r="824" ht="13" customHeight="1" s="7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row>
    <row r="825" ht="13" customHeight="1" s="74">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row>
    <row r="826" ht="13" customHeight="1" s="74">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row>
    <row r="827" ht="13" customHeight="1" s="74">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row>
    <row r="828" ht="13" customHeight="1" s="74">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row>
    <row r="829" ht="13" customHeight="1" s="74">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row>
    <row r="830" ht="13" customHeight="1" s="74">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row>
    <row r="831" ht="13" customHeight="1" s="74">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row>
    <row r="832" ht="13" customHeight="1" s="74">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row>
    <row r="833" ht="13" customHeight="1" s="74">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row>
    <row r="834" ht="13" customHeight="1" s="7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row>
    <row r="835" ht="13" customHeight="1" s="74">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row>
    <row r="836" ht="13" customHeight="1" s="74">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row>
    <row r="837" ht="13" customHeight="1" s="74">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row>
    <row r="838" ht="13" customHeight="1" s="74">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row>
    <row r="839" ht="13" customHeight="1" s="74">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row>
    <row r="840" ht="13" customHeight="1" s="74">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row>
    <row r="841" ht="13" customHeight="1" s="74">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row>
    <row r="842" ht="13" customHeight="1" s="74">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row>
    <row r="843" ht="13" customHeight="1" s="74">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row>
    <row r="844" ht="13" customHeight="1" s="7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row>
    <row r="845" ht="13" customHeight="1" s="74">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row>
    <row r="846" ht="13" customHeight="1" s="74">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row>
    <row r="847" ht="13" customHeight="1" s="74">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row>
    <row r="848" ht="13" customHeight="1" s="74">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row>
    <row r="849" ht="13" customHeight="1" s="74">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row>
    <row r="850" ht="13" customHeight="1" s="74">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row>
    <row r="851" ht="13" customHeight="1" s="74">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row>
    <row r="852" ht="13" customHeight="1" s="74">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row>
    <row r="853" ht="13" customHeight="1" s="74">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row>
    <row r="854" ht="13" customHeight="1" s="7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row>
    <row r="855" ht="13" customHeight="1" s="74">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row>
    <row r="856" ht="13" customHeight="1" s="74">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row>
    <row r="857" ht="13" customHeight="1" s="74">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row>
    <row r="858" ht="13" customHeight="1" s="74">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row>
    <row r="859" ht="13" customHeight="1" s="74">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row>
    <row r="860" ht="13" customHeight="1" s="74">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row>
    <row r="861" ht="13" customHeight="1" s="74">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row>
    <row r="862" ht="13" customHeight="1" s="74">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row>
    <row r="863" ht="13" customHeight="1" s="74">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row>
    <row r="864" ht="13" customHeight="1" s="7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row>
    <row r="865" ht="13" customHeight="1" s="74">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row>
    <row r="866" ht="13" customHeight="1" s="74">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row>
    <row r="867" ht="13" customHeight="1" s="74">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row>
    <row r="868" ht="13" customHeight="1" s="74">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row>
    <row r="869" ht="13" customHeight="1" s="74">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row>
    <row r="870" ht="13" customHeight="1" s="74">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row>
    <row r="871" ht="13" customHeight="1" s="74">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row>
    <row r="872" ht="13" customHeight="1" s="74">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row>
    <row r="873" ht="13" customHeight="1" s="74">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row>
    <row r="874" ht="13" customHeight="1" s="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row>
    <row r="875" ht="13" customHeight="1" s="74">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row>
    <row r="876" ht="13" customHeight="1" s="74">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row>
    <row r="877" ht="13" customHeight="1" s="74">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row>
    <row r="878" ht="13" customHeight="1" s="74">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row>
    <row r="879" ht="13" customHeight="1" s="74">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row>
    <row r="880" ht="13" customHeight="1" s="74">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row>
    <row r="881" ht="13" customHeight="1" s="74">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row>
    <row r="882" ht="13" customHeight="1" s="74">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row>
    <row r="883" ht="13" customHeight="1" s="74">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row>
    <row r="884" ht="13" customHeight="1" s="7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row>
    <row r="885" ht="13" customHeight="1" s="74">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row>
    <row r="886" ht="13" customHeight="1" s="74">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row>
    <row r="887" ht="13" customHeight="1" s="74">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row>
    <row r="888" ht="13" customHeight="1" s="74">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row>
    <row r="889" ht="13" customHeight="1" s="74">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row>
    <row r="890" ht="13" customHeight="1" s="74">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row>
    <row r="891" ht="13" customHeight="1" s="74">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row>
    <row r="892" ht="13" customHeight="1" s="74">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row>
    <row r="893" ht="13" customHeight="1" s="74">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row>
    <row r="894" ht="13" customHeight="1" s="7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row>
    <row r="895" ht="13" customHeight="1" s="74">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row>
    <row r="896" ht="13" customHeight="1" s="74">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row>
    <row r="897" ht="13" customHeight="1" s="74">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row>
    <row r="898" ht="13" customHeight="1" s="74">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row>
    <row r="899" ht="13" customHeight="1" s="74">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row>
    <row r="900" ht="13" customHeight="1" s="74">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row>
    <row r="901" ht="13" customHeight="1" s="74">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row>
    <row r="902" ht="13" customHeight="1" s="74">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row>
    <row r="903" ht="13" customHeight="1" s="74">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row>
    <row r="904" ht="13" customHeight="1" s="7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row>
    <row r="905" ht="13" customHeight="1" s="74">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row>
    <row r="906" ht="13" customHeight="1" s="74">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row>
    <row r="907" ht="13" customHeight="1" s="74">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row>
    <row r="908" ht="13" customHeight="1" s="74">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row>
    <row r="909" ht="13" customHeight="1" s="74">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row>
    <row r="910" ht="13" customHeight="1" s="74">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row>
    <row r="911" ht="13" customHeight="1" s="74">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row>
    <row r="912" ht="13" customHeight="1" s="74">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row>
    <row r="913" ht="13" customHeight="1" s="74">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row>
    <row r="914" ht="13" customHeight="1" s="7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row>
    <row r="915" ht="13" customHeight="1" s="74">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row>
    <row r="916" ht="13" customHeight="1" s="74">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row>
    <row r="917" ht="13" customHeight="1" s="74">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row>
    <row r="918" ht="13" customHeight="1" s="74">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row>
    <row r="919" ht="13" customHeight="1" s="74">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row>
    <row r="920" ht="13" customHeight="1" s="74">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row>
    <row r="921" ht="13" customHeight="1" s="74">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row>
    <row r="922" ht="13" customHeight="1" s="74">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row>
    <row r="923" ht="13" customHeight="1" s="74">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row>
    <row r="924" ht="13" customHeight="1" s="7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row>
    <row r="925" ht="13" customHeight="1" s="74">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row>
    <row r="926" ht="13" customHeight="1" s="74">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row>
    <row r="927" ht="13" customHeight="1" s="74">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row>
    <row r="928" ht="13" customHeight="1" s="74">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row>
    <row r="929" ht="13" customHeight="1" s="74">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row>
    <row r="930" ht="13" customHeight="1" s="74">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row>
    <row r="931" ht="13" customHeight="1" s="74">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row>
    <row r="932" ht="13" customHeight="1" s="74">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row>
    <row r="933" ht="13" customHeight="1" s="74">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row>
    <row r="934" ht="13" customHeight="1" s="7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row>
    <row r="935" ht="13" customHeight="1" s="74">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row>
    <row r="936" ht="13" customHeight="1" s="74">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row>
    <row r="937" ht="13" customHeight="1" s="74">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row>
    <row r="938" ht="13" customHeight="1" s="74">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row>
    <row r="939" ht="13" customHeight="1" s="74">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row>
    <row r="940" ht="13" customHeight="1" s="74">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row>
    <row r="941" ht="13" customHeight="1" s="74">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row>
    <row r="942" ht="13" customHeight="1" s="74">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row>
    <row r="943" ht="13" customHeight="1" s="74">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row>
    <row r="944" ht="13" customHeight="1" s="7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row>
    <row r="945" ht="13" customHeight="1" s="74">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row>
    <row r="946" ht="13" customHeight="1" s="74">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row>
    <row r="947" ht="13" customHeight="1" s="74">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row>
    <row r="948" ht="13" customHeight="1" s="74">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row>
    <row r="949" ht="13" customHeight="1" s="74">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row>
    <row r="950" ht="13" customHeight="1" s="74">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row>
    <row r="951" ht="13" customHeight="1" s="74">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row>
    <row r="952" ht="13" customHeight="1" s="74">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row>
    <row r="953" ht="13" customHeight="1" s="74">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row>
    <row r="954" ht="13" customHeight="1" s="7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row>
    <row r="955" ht="13" customHeight="1" s="74">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row>
    <row r="956" ht="13" customHeight="1" s="74">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row>
    <row r="957" ht="13" customHeight="1" s="74">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row>
    <row r="958" ht="13" customHeight="1" s="74">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row>
    <row r="959" ht="13" customHeight="1" s="74">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row>
    <row r="960" ht="13" customHeight="1" s="74">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row>
    <row r="961" ht="13" customHeight="1" s="74">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row>
    <row r="962" ht="13" customHeight="1" s="74">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row>
    <row r="963" ht="13" customHeight="1" s="74">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row>
    <row r="964" ht="13" customHeight="1" s="7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row>
    <row r="965" ht="13" customHeight="1" s="74">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row>
    <row r="966" ht="13" customHeight="1" s="74">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row>
    <row r="967" ht="13" customHeight="1" s="74">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row>
    <row r="968" ht="13" customHeight="1" s="74">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row>
    <row r="969" ht="13" customHeight="1" s="74">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row>
    <row r="970" ht="13" customHeight="1" s="74">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row>
    <row r="971" ht="13" customHeight="1" s="74">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row>
    <row r="972" ht="13" customHeight="1" s="74">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row>
    <row r="973" ht="13" customHeight="1" s="74">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row>
    <row r="974" ht="13" customHeight="1" s="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row>
    <row r="975" ht="13" customHeight="1" s="74">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row>
    <row r="976" ht="13" customHeight="1" s="74">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row>
    <row r="977" ht="13" customHeight="1" s="74">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row>
    <row r="978" ht="13" customHeight="1" s="74">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row>
    <row r="979" ht="13" customHeight="1" s="74">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row>
    <row r="980" ht="13" customHeight="1" s="74">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row>
    <row r="981" ht="13" customHeight="1" s="74">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row>
    <row r="982" ht="13" customHeight="1" s="74">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row>
    <row r="983" ht="13" customHeight="1" s="74">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row>
    <row r="984" ht="13" customHeight="1" s="7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row>
    <row r="985" ht="13" customHeight="1" s="74">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row>
    <row r="986" ht="13" customHeight="1" s="74">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row>
    <row r="987" ht="13" customHeight="1" s="74">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row>
    <row r="988" ht="13" customHeight="1" s="74">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row>
    <row r="989" ht="13" customHeight="1" s="74">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row>
    <row r="990" ht="13" customHeight="1" s="74">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row>
    <row r="991" ht="13" customHeight="1" s="74">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row>
    <row r="992" ht="13" customHeight="1" s="74">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row>
    <row r="993" ht="13" customHeight="1" s="74">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row>
    <row r="994" ht="13" customHeight="1" s="7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row>
    <row r="995" ht="13" customHeight="1" s="74">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row>
    <row r="996" ht="13" customHeight="1" s="74">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row>
    <row r="997" ht="13" customHeight="1" s="74">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row>
    <row r="998" ht="13" customHeight="1" s="74">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row>
    <row r="999" ht="13" customHeight="1" s="74">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row>
    <row r="1000" ht="13" customHeight="1" s="74">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row>
    <row r="1001" ht="13" customHeight="1" s="74">
      <c r="A1001" s="18" t="n"/>
      <c r="B1001" s="18" t="n"/>
      <c r="C1001" s="18" t="n"/>
      <c r="D1001" s="18" t="n"/>
      <c r="E1001" s="18" t="n"/>
      <c r="F1001" s="18"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row>
    <row r="1002" ht="13" customHeight="1" s="74">
      <c r="A1002" s="18" t="n"/>
      <c r="B1002" s="18" t="n"/>
      <c r="C1002" s="18" t="n"/>
      <c r="D1002" s="18" t="n"/>
      <c r="E1002" s="18" t="n"/>
      <c r="F1002" s="18" t="n"/>
      <c r="G1002" s="18" t="n"/>
      <c r="H1002" s="18" t="n"/>
      <c r="I1002" s="18" t="n"/>
      <c r="J1002" s="18" t="n"/>
      <c r="K1002" s="18" t="n"/>
      <c r="L1002" s="18" t="n"/>
      <c r="M1002" s="18"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row>
    <row r="1003" ht="13" customHeight="1" s="74">
      <c r="A1003" s="18" t="n"/>
      <c r="B1003" s="18" t="n"/>
      <c r="C1003" s="18" t="n"/>
      <c r="D1003" s="18" t="n"/>
      <c r="E1003" s="18" t="n"/>
      <c r="F1003" s="18" t="n"/>
      <c r="G1003" s="18" t="n"/>
      <c r="H1003" s="18" t="n"/>
      <c r="I1003" s="18" t="n"/>
      <c r="J1003" s="18" t="n"/>
      <c r="K1003" s="18" t="n"/>
      <c r="L1003" s="18" t="n"/>
      <c r="M1003" s="18"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row>
    <row r="1004" ht="13" customHeight="1" s="74">
      <c r="A1004" s="18" t="n"/>
      <c r="B1004" s="18" t="n"/>
      <c r="C1004" s="18" t="n"/>
      <c r="D1004" s="18" t="n"/>
      <c r="E1004" s="18" t="n"/>
      <c r="F1004" s="18" t="n"/>
      <c r="G1004" s="18" t="n"/>
      <c r="H1004" s="18" t="n"/>
      <c r="I1004" s="18" t="n"/>
      <c r="J1004" s="18" t="n"/>
      <c r="K1004" s="18" t="n"/>
      <c r="L1004" s="18" t="n"/>
      <c r="M1004" s="18"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row>
    <row r="1005" ht="13" customHeight="1" s="74">
      <c r="A1005" s="18" t="n"/>
      <c r="B1005" s="18" t="n"/>
      <c r="C1005" s="18" t="n"/>
      <c r="D1005" s="18" t="n"/>
      <c r="E1005" s="18" t="n"/>
      <c r="F1005" s="18" t="n"/>
      <c r="G1005" s="18" t="n"/>
      <c r="H1005" s="18" t="n"/>
      <c r="I1005" s="18" t="n"/>
      <c r="J1005" s="18" t="n"/>
      <c r="K1005" s="18" t="n"/>
      <c r="L1005" s="18" t="n"/>
      <c r="M1005" s="18"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row>
    <row r="1006" ht="13" customHeight="1" s="74">
      <c r="A1006" s="18" t="n"/>
      <c r="B1006" s="18" t="n"/>
      <c r="C1006" s="18" t="n"/>
      <c r="D1006" s="18" t="n"/>
      <c r="E1006" s="18" t="n"/>
      <c r="F1006" s="18" t="n"/>
      <c r="G1006" s="18" t="n"/>
      <c r="H1006" s="18" t="n"/>
      <c r="I1006" s="18" t="n"/>
      <c r="J1006" s="18" t="n"/>
      <c r="K1006" s="18" t="n"/>
      <c r="L1006" s="18" t="n"/>
      <c r="M1006" s="18"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row>
    <row r="1007" ht="13" customHeight="1" s="74">
      <c r="A1007" s="18" t="n"/>
      <c r="B1007" s="18" t="n"/>
      <c r="C1007" s="18" t="n"/>
      <c r="D1007" s="18" t="n"/>
      <c r="E1007" s="18" t="n"/>
      <c r="F1007" s="18" t="n"/>
      <c r="G1007" s="18" t="n"/>
      <c r="H1007" s="18" t="n"/>
      <c r="I1007" s="18" t="n"/>
      <c r="J1007" s="18" t="n"/>
      <c r="K1007" s="18" t="n"/>
      <c r="L1007" s="18" t="n"/>
      <c r="M1007" s="18"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row>
    <row r="1008" ht="13" customHeight="1" s="74">
      <c r="A1008" s="18" t="n"/>
      <c r="B1008" s="18" t="n"/>
      <c r="C1008" s="18" t="n"/>
      <c r="D1008" s="18" t="n"/>
      <c r="E1008" s="18" t="n"/>
      <c r="F1008" s="18" t="n"/>
      <c r="G1008" s="18" t="n"/>
      <c r="H1008" s="18" t="n"/>
      <c r="I1008" s="18" t="n"/>
      <c r="J1008" s="18" t="n"/>
      <c r="K1008" s="18" t="n"/>
      <c r="L1008" s="18" t="n"/>
      <c r="M1008" s="18"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row>
    <row r="1009" ht="13" customHeight="1" s="74">
      <c r="A1009" s="18" t="n"/>
      <c r="B1009" s="18" t="n"/>
      <c r="C1009" s="18" t="n"/>
      <c r="D1009" s="18" t="n"/>
      <c r="E1009" s="18" t="n"/>
      <c r="F1009" s="18" t="n"/>
      <c r="G1009" s="18" t="n"/>
      <c r="H1009" s="18" t="n"/>
      <c r="I1009" s="18" t="n"/>
      <c r="J1009" s="18" t="n"/>
      <c r="K1009" s="18" t="n"/>
      <c r="L1009" s="18" t="n"/>
      <c r="M1009" s="18"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row>
    <row r="1010" ht="13" customHeight="1" s="74">
      <c r="A1010" s="18" t="n"/>
      <c r="B1010" s="18" t="n"/>
      <c r="C1010" s="18" t="n"/>
      <c r="D1010" s="18" t="n"/>
      <c r="E1010" s="18" t="n"/>
      <c r="F1010" s="18" t="n"/>
      <c r="G1010" s="18" t="n"/>
      <c r="H1010" s="18" t="n"/>
      <c r="I1010" s="18" t="n"/>
      <c r="J1010" s="18" t="n"/>
      <c r="K1010" s="18" t="n"/>
      <c r="L1010" s="18" t="n"/>
      <c r="M1010" s="18"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row>
    <row r="1011" ht="13" customHeight="1" s="74">
      <c r="A1011" s="18" t="n"/>
      <c r="B1011" s="18" t="n"/>
      <c r="C1011" s="18" t="n"/>
      <c r="D1011" s="18" t="n"/>
      <c r="E1011" s="18" t="n"/>
      <c r="F1011" s="18" t="n"/>
      <c r="G1011" s="18" t="n"/>
      <c r="H1011" s="18" t="n"/>
      <c r="I1011" s="18" t="n"/>
      <c r="J1011" s="18" t="n"/>
      <c r="K1011" s="18" t="n"/>
      <c r="L1011" s="18" t="n"/>
      <c r="M1011" s="18"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row>
    <row r="1012" ht="13" customHeight="1" s="74">
      <c r="A1012" s="18" t="n"/>
      <c r="B1012" s="18" t="n"/>
      <c r="C1012" s="18" t="n"/>
      <c r="D1012" s="18" t="n"/>
      <c r="E1012" s="18" t="n"/>
      <c r="F1012" s="18" t="n"/>
      <c r="G1012" s="18" t="n"/>
      <c r="H1012" s="18" t="n"/>
      <c r="I1012" s="18" t="n"/>
      <c r="J1012" s="18" t="n"/>
      <c r="K1012" s="18" t="n"/>
      <c r="L1012" s="18" t="n"/>
      <c r="M1012" s="18"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row>
    <row r="1013" ht="13" customHeight="1" s="74">
      <c r="A1013" s="18" t="n"/>
      <c r="B1013" s="18" t="n"/>
      <c r="C1013" s="18" t="n"/>
      <c r="D1013" s="18" t="n"/>
      <c r="E1013" s="18" t="n"/>
      <c r="F1013" s="18" t="n"/>
      <c r="G1013" s="18" t="n"/>
      <c r="H1013" s="18" t="n"/>
      <c r="I1013" s="18" t="n"/>
      <c r="J1013" s="18" t="n"/>
      <c r="K1013" s="18" t="n"/>
      <c r="L1013" s="18" t="n"/>
      <c r="M1013" s="18"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row>
    <row r="1014" ht="13" customHeight="1" s="74">
      <c r="A1014" s="18" t="n"/>
      <c r="B1014" s="18" t="n"/>
      <c r="C1014" s="18" t="n"/>
      <c r="D1014" s="18" t="n"/>
      <c r="E1014" s="18" t="n"/>
      <c r="F1014" s="18" t="n"/>
      <c r="G1014" s="18" t="n"/>
      <c r="H1014" s="18" t="n"/>
      <c r="I1014" s="18" t="n"/>
      <c r="J1014" s="18" t="n"/>
      <c r="K1014" s="18" t="n"/>
      <c r="L1014" s="18" t="n"/>
      <c r="M1014" s="18"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row>
    <row r="1015" ht="13" customHeight="1" s="74">
      <c r="A1015" s="18" t="n"/>
      <c r="B1015" s="18" t="n"/>
      <c r="C1015" s="18" t="n"/>
      <c r="D1015" s="18" t="n"/>
      <c r="E1015" s="18" t="n"/>
      <c r="F1015" s="18" t="n"/>
      <c r="G1015" s="18" t="n"/>
      <c r="H1015" s="18" t="n"/>
      <c r="I1015" s="18" t="n"/>
      <c r="J1015" s="18" t="n"/>
      <c r="K1015" s="18" t="n"/>
      <c r="L1015" s="18" t="n"/>
      <c r="M1015" s="18"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row>
    <row r="1016" ht="13" customHeight="1" s="74">
      <c r="A1016" s="18" t="n"/>
      <c r="B1016" s="18" t="n"/>
      <c r="C1016" s="18" t="n"/>
      <c r="D1016" s="18" t="n"/>
      <c r="E1016" s="18" t="n"/>
      <c r="F1016" s="18" t="n"/>
      <c r="G1016" s="18" t="n"/>
      <c r="H1016" s="18" t="n"/>
      <c r="I1016" s="18" t="n"/>
      <c r="J1016" s="18" t="n"/>
      <c r="K1016" s="18" t="n"/>
      <c r="L1016" s="18" t="n"/>
      <c r="M1016" s="18"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row>
    <row r="1017" ht="13" customHeight="1" s="74">
      <c r="A1017" s="18" t="n"/>
      <c r="B1017" s="18" t="n"/>
      <c r="C1017" s="18" t="n"/>
      <c r="D1017" s="18" t="n"/>
      <c r="E1017" s="18" t="n"/>
      <c r="F1017" s="18" t="n"/>
      <c r="G1017" s="18" t="n"/>
      <c r="H1017" s="18" t="n"/>
      <c r="I1017" s="18" t="n"/>
      <c r="J1017" s="18" t="n"/>
      <c r="K1017" s="18" t="n"/>
      <c r="L1017" s="18" t="n"/>
      <c r="M1017" s="18"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row>
    <row r="1018" ht="13" customHeight="1" s="74">
      <c r="A1018" s="18" t="n"/>
      <c r="B1018" s="18" t="n"/>
      <c r="C1018" s="18" t="n"/>
      <c r="D1018" s="18" t="n"/>
      <c r="E1018" s="18" t="n"/>
      <c r="F1018" s="18" t="n"/>
      <c r="G1018" s="18" t="n"/>
      <c r="H1018" s="18" t="n"/>
      <c r="I1018" s="18" t="n"/>
      <c r="J1018" s="18" t="n"/>
      <c r="K1018" s="18" t="n"/>
      <c r="L1018" s="18" t="n"/>
      <c r="M1018" s="18"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row>
    <row r="1019" ht="13" customHeight="1" s="74">
      <c r="A1019" s="18" t="n"/>
      <c r="B1019" s="18" t="n"/>
      <c r="C1019" s="18" t="n"/>
      <c r="D1019" s="18" t="n"/>
      <c r="E1019" s="18" t="n"/>
      <c r="F1019" s="18" t="n"/>
      <c r="G1019" s="18" t="n"/>
      <c r="H1019" s="18" t="n"/>
      <c r="I1019" s="18" t="n"/>
      <c r="J1019" s="18" t="n"/>
      <c r="K1019" s="18" t="n"/>
      <c r="L1019" s="18" t="n"/>
      <c r="M1019" s="18"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row>
    <row r="1020" ht="13" customHeight="1" s="74">
      <c r="A1020" s="18" t="n"/>
      <c r="B1020" s="18" t="n"/>
      <c r="C1020" s="18" t="n"/>
      <c r="D1020" s="18" t="n"/>
      <c r="E1020" s="18" t="n"/>
      <c r="F1020" s="18" t="n"/>
      <c r="G1020" s="18" t="n"/>
      <c r="H1020" s="18" t="n"/>
      <c r="I1020" s="18" t="n"/>
      <c r="J1020" s="18" t="n"/>
      <c r="K1020" s="18" t="n"/>
      <c r="L1020" s="18" t="n"/>
      <c r="M1020" s="18"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row>
    <row r="1021" ht="13" customHeight="1" s="74">
      <c r="A1021" s="18" t="n"/>
      <c r="B1021" s="18" t="n"/>
      <c r="C1021" s="18" t="n"/>
      <c r="D1021" s="18" t="n"/>
      <c r="E1021" s="18" t="n"/>
      <c r="F1021" s="18" t="n"/>
      <c r="G1021" s="18" t="n"/>
      <c r="H1021" s="18" t="n"/>
      <c r="I1021" s="18" t="n"/>
      <c r="J1021" s="18" t="n"/>
      <c r="K1021" s="18" t="n"/>
      <c r="L1021" s="18" t="n"/>
      <c r="M1021" s="18"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row>
    <row r="1022" ht="13" customHeight="1" s="74">
      <c r="A1022" s="18" t="n"/>
      <c r="B1022" s="18" t="n"/>
      <c r="C1022" s="18" t="n"/>
      <c r="D1022" s="18" t="n"/>
      <c r="E1022" s="18" t="n"/>
      <c r="F1022" s="18" t="n"/>
      <c r="G1022" s="18" t="n"/>
      <c r="H1022" s="18" t="n"/>
      <c r="I1022" s="18" t="n"/>
      <c r="J1022" s="18" t="n"/>
      <c r="K1022" s="18" t="n"/>
      <c r="L1022" s="18" t="n"/>
      <c r="M1022" s="18"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row>
  </sheetData>
  <mergeCells count="3">
    <mergeCell ref="A67:B67"/>
    <mergeCell ref="A66:B66"/>
    <mergeCell ref="A68:B68"/>
  </mergeCell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G1032"/>
  <sheetViews>
    <sheetView tabSelected="1" topLeftCell="A27" workbookViewId="0">
      <selection activeCell="C65" sqref="C65"/>
    </sheetView>
  </sheetViews>
  <sheetFormatPr baseColWidth="10" defaultColWidth="12.6640625" defaultRowHeight="15.75" customHeight="1"/>
  <cols>
    <col width="33.1640625" customWidth="1" style="74" min="1" max="1"/>
    <col width="46.1640625" customWidth="1" style="74" min="2" max="2"/>
    <col width="21.1640625" customWidth="1" style="74" min="3" max="3"/>
    <col width="13.6640625" customWidth="1" style="74" min="5" max="5"/>
    <col width="143" customWidth="1" style="74" min="6" max="6"/>
    <col width="47.6640625" customWidth="1" style="74" min="7" max="7"/>
    <col width="28" customWidth="1" style="74" min="8" max="8"/>
    <col width="70.1640625" customWidth="1" style="74" min="10" max="10"/>
    <col width="40" customWidth="1" style="74" min="11" max="11"/>
  </cols>
  <sheetData>
    <row r="1" ht="13" customHeight="1" s="74">
      <c r="A1" s="36" t="inlineStr">
        <is>
          <t>SECTION I</t>
        </is>
      </c>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c r="AF1" s="36" t="n"/>
      <c r="AG1" s="36" t="n"/>
    </row>
    <row r="2" ht="13" customHeight="1" s="74">
      <c r="A2" s="37" t="inlineStr">
        <is>
          <t>关键信息</t>
        </is>
      </c>
      <c r="B2" s="37" t="inlineStr">
        <is>
          <t>数字批发市场，连接独立零售商与欧洲各地独特品牌，帮助企业发现和采购独特产品。</t>
        </is>
      </c>
      <c r="C2" s="37" t="n"/>
      <c r="D2" s="37" t="n"/>
      <c r="E2" s="37"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37" t="n"/>
      <c r="AD2" s="37" t="n"/>
      <c r="AE2" s="37" t="n"/>
      <c r="AF2" s="37" t="n"/>
      <c r="AG2" s="37" t="n"/>
    </row>
    <row r="3" ht="13" customHeight="1" s="74">
      <c r="A3" s="24" t="inlineStr">
        <is>
          <t>解决的可持续发展目标：</t>
        </is>
      </c>
      <c r="B3" s="24"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c r="AA3" s="24" t="n"/>
      <c r="AB3" s="24" t="n"/>
      <c r="AC3" s="24" t="n"/>
      <c r="AD3" s="24" t="n"/>
      <c r="AE3" s="24" t="n"/>
      <c r="AF3" s="24" t="n"/>
      <c r="AG3" s="24" t="n"/>
    </row>
    <row r="4" ht="13" customHeight="1" s="74">
      <c r="A4" s="24" t="inlineStr">
        <is>
          <t>Vertical:</t>
        </is>
      </c>
      <c r="B4" s="24"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row>
    <row r="5" ht="13" customHeight="1" s="74">
      <c r="A5" s="24" t="inlineStr">
        <is>
          <t>替代情景：</t>
        </is>
      </c>
      <c r="B5" s="24" t="inlineStr">
        <is>
          <t>独立零售商继续面临更高的采购成本、独特品牌的发现时间更长，以及潜在的产品多样性减少，这使得他们更难与大型零售商和在线巨头竞争。</t>
        </is>
      </c>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row>
    <row r="6" ht="13" customHeight="1" s="74">
      <c r="A6" s="20" t="n"/>
      <c r="B6" s="20" t="inlineStr">
        <is>
          <t>该平台旨在让那些对自己公司（无论是品牌还是零售商）有愿景的人将其愿景变为现实。为希望以零售商或品牌身份起步的人提供了一种具有成本效益的方式，并为他们实现愿景提供了良好的成功因素。</t>
        </is>
      </c>
      <c r="C6" s="20" t="n"/>
      <c r="D6" s="20" t="n"/>
      <c r="E6" s="20" t="n"/>
      <c r="F6" s="20" t="n"/>
      <c r="G6" s="20" t="n"/>
      <c r="H6" s="20" t="n"/>
      <c r="I6" s="20" t="n"/>
      <c r="J6" s="20" t="n"/>
      <c r="K6" s="20" t="n"/>
      <c r="L6" s="20" t="n"/>
      <c r="M6" s="20" t="n"/>
      <c r="N6" s="20" t="n"/>
      <c r="O6" s="20" t="n"/>
      <c r="P6" s="20" t="n"/>
      <c r="Q6" s="20" t="n"/>
      <c r="R6" s="20" t="n"/>
      <c r="S6" s="20" t="n"/>
      <c r="T6" s="20" t="n"/>
      <c r="U6" s="20" t="n"/>
      <c r="V6" s="20" t="n"/>
      <c r="W6" s="20" t="n"/>
      <c r="X6" s="20" t="n"/>
      <c r="Y6" s="20" t="n"/>
      <c r="Z6" s="20" t="n"/>
      <c r="AA6" s="20" t="n"/>
      <c r="AB6" s="20" t="n"/>
      <c r="AC6" s="20" t="n"/>
      <c r="AD6" s="20" t="n"/>
      <c r="AE6" s="20" t="n"/>
      <c r="AF6" s="20" t="n"/>
      <c r="AG6" s="20" t="n"/>
    </row>
    <row r="7" ht="13" customHeight="1" s="74">
      <c r="A7" s="20" t="n"/>
      <c r="B7" s="20" t="inlineStr">
        <is>
          <t>确保包括财务组件 - 没有个人资本来实现愿景。Sparkinity 可以为您提供信用，以帮助处理库存/存货（尽管时间较短）。例如，不想为他人工作的艺术学生。可以接触到其他人（数十万零售商）。允许您使用谈判后的利率条款等（降低创业成本）。</t>
        </is>
      </c>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row>
    <row r="8" ht="13" customHeight="1" s="74">
      <c r="A8" s="37" t="inlineStr">
        <is>
          <t>利益相关者</t>
        </is>
      </c>
      <c r="B8" s="37" t="inlineStr">
        <is>
          <t>解释：谁，什么，与投资组合公司的关系性质</t>
        </is>
      </c>
      <c r="C8" s="37" t="n"/>
      <c r="D8" s="37"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row>
    <row r="9" ht="13" customHeight="1" s="74">
      <c r="A9" s="20" t="inlineStr">
        <is>
          <t>独立零售商（客户）</t>
        </is>
      </c>
      <c r="B9" s="20" t="inlineStr">
        <is>
          <t>使用Sparkinity高效发现和采购独特产品的小型和中型企业。</t>
        </is>
      </c>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c r="AA9" s="20" t="n"/>
      <c r="AB9" s="20" t="n"/>
      <c r="AC9" s="20" t="n"/>
      <c r="AD9" s="20" t="n"/>
      <c r="AE9" s="20" t="n"/>
      <c r="AF9" s="20" t="n"/>
      <c r="AG9" s="20" t="n"/>
    </row>
    <row r="10" ht="13" customHeight="1" s="74">
      <c r="A10" s="5" t="inlineStr">
        <is>
          <t>品牌与供应商</t>
        </is>
      </c>
      <c r="B10" s="20" t="inlineStr">
        <is>
          <t>依赖Sparkinity进行更广泛分销和市场准入的公司和工匠。</t>
        </is>
      </c>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row>
    <row r="11" ht="16" customHeight="1" s="74">
      <c r="A11" s="54" t="inlineStr">
        <is>
          <t>Consumers</t>
        </is>
      </c>
      <c r="B11" s="20" t="inlineStr">
        <is>
          <t>最终客户从从Sparkinity采购的零售店中受益于更具多样性和独特性的产品选择。</t>
        </is>
      </c>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row>
    <row r="12" ht="16" customHeight="1" s="74">
      <c r="A12" s="54" t="inlineStr">
        <is>
          <t>物流与运输服务提供商</t>
        </is>
      </c>
      <c r="B12" s="20" t="inlineStr">
        <is>
          <t>第三方承运商和履行中心确保订单高效交付。</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row>
    <row r="13" ht="13" customHeight="1" s="74">
      <c r="A13" s="20" t="inlineStr">
        <is>
          <t>环境与社会</t>
        </is>
      </c>
      <c r="B13" s="20" t="inlineStr">
        <is>
          <t>采购和运输商品的生态影响，以及支持小型企业和独立品牌的社会影响。</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row>
    <row r="14" ht="13" customHeight="1" s="7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row>
    <row r="15" ht="13" customHeight="1" s="74">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c r="AA15" s="20" t="n"/>
      <c r="AB15" s="20" t="n"/>
      <c r="AC15" s="20" t="n"/>
      <c r="AD15" s="20" t="n"/>
      <c r="AE15" s="20" t="n"/>
      <c r="AF15" s="20" t="n"/>
      <c r="AG15" s="20" t="n"/>
    </row>
    <row r="16" ht="13" customHeight="1" s="74">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row>
    <row r="17" ht="13" customHeight="1" s="74">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c r="AA17" s="20" t="n"/>
      <c r="AB17" s="20" t="n"/>
      <c r="AC17" s="20" t="n"/>
      <c r="AD17" s="20" t="n"/>
      <c r="AE17" s="20" t="n"/>
      <c r="AF17" s="20" t="n"/>
      <c r="AG17" s="20" t="n"/>
    </row>
    <row r="18" ht="13" customHeight="1" s="74">
      <c r="A18" s="38" t="inlineStr">
        <is>
          <t>SECTION II</t>
        </is>
      </c>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c r="AA18" s="38" t="n"/>
      <c r="AB18" s="38" t="n"/>
      <c r="AC18" s="38" t="n"/>
      <c r="AD18" s="38" t="n"/>
      <c r="AE18" s="38" t="n"/>
      <c r="AF18" s="38" t="n"/>
      <c r="AG18" s="38" t="n"/>
    </row>
    <row r="19" ht="13" customHeight="1" s="74">
      <c r="A19" s="39" t="inlineStr">
        <is>
          <t>Mechanisms</t>
        </is>
      </c>
      <c r="B19" s="39" t="n"/>
      <c r="C19" s="39" t="n"/>
      <c r="D19" s="39" t="n"/>
      <c r="E19" s="39" t="n"/>
      <c r="F19" s="39" t="n"/>
      <c r="G19" s="39" t="n"/>
      <c r="H19" s="39" t="n"/>
      <c r="I19" s="39" t="n"/>
      <c r="J19" s="39" t="n"/>
      <c r="K19" s="39" t="n"/>
      <c r="L19" s="39" t="n"/>
      <c r="M19" s="39" t="n"/>
      <c r="N19" s="39" t="n"/>
      <c r="O19" s="39" t="n"/>
      <c r="P19" s="39" t="n"/>
      <c r="Q19" s="39" t="n"/>
      <c r="R19" s="39" t="n"/>
      <c r="S19" s="39" t="n"/>
      <c r="T19" s="39" t="n"/>
      <c r="U19" s="39" t="n"/>
      <c r="V19" s="39" t="n"/>
      <c r="W19" s="39" t="n"/>
      <c r="X19" s="39" t="n"/>
      <c r="Y19" s="39" t="n"/>
      <c r="Z19" s="39" t="n"/>
      <c r="AA19" s="39" t="n"/>
      <c r="AB19" s="39" t="n"/>
      <c r="AC19" s="39" t="n"/>
      <c r="AD19" s="39" t="n"/>
      <c r="AE19" s="39" t="n"/>
      <c r="AF19" s="39" t="n"/>
      <c r="AG19" s="39" t="n"/>
    </row>
    <row r="20" ht="13" customHeight="1" s="74">
      <c r="A20" s="40" t="inlineStr">
        <is>
          <t>受影响的利益相关者</t>
        </is>
      </c>
      <c r="B20" s="40" t="inlineStr">
        <is>
          <t>Mechanism</t>
        </is>
      </c>
      <c r="C20" s="40" t="inlineStr">
        <is>
          <t>驱动变量</t>
        </is>
      </c>
      <c r="D20" s="40" t="inlineStr">
        <is>
          <t>影响类型</t>
        </is>
      </c>
      <c r="E20" s="40" t="inlineStr">
        <is>
          <t>积极/消极</t>
        </is>
      </c>
      <c r="F20" s="40" t="inlineStr">
        <is>
          <t>Method</t>
        </is>
      </c>
      <c r="G20" s="40" t="inlineStr">
        <is>
          <t>Value</t>
        </is>
      </c>
      <c r="H20" s="40" t="inlineStr">
        <is>
          <t>Unit</t>
        </is>
      </c>
      <c r="I20" s="40" t="inlineStr">
        <is>
          <t>% 可归因</t>
        </is>
      </c>
      <c r="J20" s="40" t="inlineStr">
        <is>
          <t>备注与说明</t>
        </is>
      </c>
      <c r="K20" s="40" t="n"/>
      <c r="L20" s="40" t="n"/>
      <c r="M20" s="40" t="n"/>
      <c r="N20" s="40" t="n"/>
      <c r="O20" s="40" t="n"/>
      <c r="P20" s="40" t="n"/>
      <c r="Q20" s="40" t="n"/>
      <c r="R20" s="40" t="n"/>
      <c r="S20" s="40" t="n"/>
      <c r="T20" s="40" t="n"/>
      <c r="U20" s="40" t="n"/>
      <c r="V20" s="40" t="n"/>
      <c r="W20" s="40" t="n"/>
      <c r="X20" s="40" t="n"/>
      <c r="Y20" s="40" t="n"/>
      <c r="Z20" s="40" t="n"/>
      <c r="AA20" s="40" t="n"/>
      <c r="AB20" s="40" t="n"/>
      <c r="AC20" s="40" t="n"/>
      <c r="AD20" s="40" t="n"/>
      <c r="AE20" s="40" t="n"/>
      <c r="AF20" s="40" t="n"/>
      <c r="AG20" s="40" t="n"/>
    </row>
    <row r="21" ht="13" customHeight="1" s="74">
      <c r="A21" s="63" t="inlineStr">
        <is>
          <t>独立零售商</t>
        </is>
      </c>
      <c r="B21" s="64" t="inlineStr">
        <is>
          <t>获取独特品牌的机会</t>
        </is>
      </c>
      <c r="C21" s="64" t="inlineStr">
        <is>
          <t>增加销售和差异化</t>
        </is>
      </c>
      <c r="D21" s="64" t="inlineStr">
        <is>
          <t>Financial</t>
        </is>
      </c>
      <c r="E21" s="64" t="inlineStr">
        <is>
          <t>Positive</t>
        </is>
      </c>
      <c r="F21" s="64" t="inlineStr">
        <is>
          <t>零售商收入提升 = 平均提升百分比 × Sparkinity 估计的零售商收入</t>
        </is>
      </c>
      <c r="G21" s="25" t="n">
        <v>10000</v>
      </c>
      <c r="H21" s="18" t="inlineStr">
        <is>
          <t>每个零售商的美元金额</t>
        </is>
      </c>
      <c r="I21" s="18" t="n">
        <v>100</v>
      </c>
      <c r="J21" s="18" t="inlineStr">
        <is>
          <t>产品的平均加价 = 2倍，100% 归因于 Sparkinity 的销售</t>
        </is>
      </c>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row>
    <row r="22" ht="13" customHeight="1" s="74">
      <c r="A22" s="63" t="inlineStr">
        <is>
          <t>独立零售商</t>
        </is>
      </c>
      <c r="B22" s="64" t="inlineStr">
        <is>
          <t>降低采购成本</t>
        </is>
      </c>
      <c r="C22" s="64" t="inlineStr">
        <is>
          <t>减少开支</t>
        </is>
      </c>
      <c r="D22" s="64" t="inlineStr">
        <is>
          <t>Financial</t>
        </is>
      </c>
      <c r="E22" s="64" t="inlineStr">
        <is>
          <t>Positive</t>
        </is>
      </c>
      <c r="F22" s="64" t="inlineStr">
        <is>
          <t>通过对小型商店的平均库存支出应用标准百分比节省，估算独立零售商因降低采购成本而获得的年度财务收益。</t>
        </is>
      </c>
      <c r="G22" s="25" t="n">
        <v>5000</v>
      </c>
      <c r="H22" s="18" t="inlineStr">
        <is>
          <t>每个零售商的美元金额</t>
        </is>
      </c>
      <c r="I22" s="18" t="n">
        <v>100</v>
      </c>
      <c r="J22" s="18" t="inlineStr">
        <is>
          <t>我们估计每个零售商的保守年节省为5,000美元，基于典型小商店的库存支出（每年50,000–100,000美元）以及从像Sparkinity这样的平台注册所预期的10–20%的采购节省。</t>
        </is>
      </c>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row>
    <row r="23" ht="13" customHeight="1" s="74">
      <c r="A23" s="63" t="inlineStr">
        <is>
          <t>独立零售商</t>
        </is>
      </c>
      <c r="B23" s="64" t="inlineStr">
        <is>
          <t>平台依赖性</t>
        </is>
      </c>
      <c r="C23" s="64" t="inlineStr">
        <is>
          <t>对Sparkinity的潜在依赖</t>
        </is>
      </c>
      <c r="D23" s="64" t="inlineStr">
        <is>
          <t>Financial</t>
        </is>
      </c>
      <c r="E23" s="64" t="inlineStr">
        <is>
          <t>Negative</t>
        </is>
      </c>
      <c r="F23" s="64" t="inlineStr">
        <is>
          <t>如果平台费用增加或访问权限丧失，估计收入影响。</t>
        </is>
      </c>
      <c r="G23" s="25" t="n">
        <v>5000</v>
      </c>
      <c r="H23" s="18" t="inlineStr">
        <is>
          <t>每个零售商的美元金额</t>
        </is>
      </c>
      <c r="I23" s="18" t="n">
        <v>100</v>
      </c>
      <c r="J23" s="18" t="inlineStr">
        <is>
          <t>我们假设来自Sparkinity的50%收入在平台损失或费用增加的情况下存在风险，并将其应用于之前估算的每个零售商的收入。</t>
        </is>
      </c>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row>
    <row r="24" ht="13" customHeight="1" s="74">
      <c r="A24" s="63" t="inlineStr">
        <is>
          <t>品牌与供应商</t>
        </is>
      </c>
      <c r="B24" s="64" t="inlineStr">
        <is>
          <t>增加市场准入</t>
        </is>
      </c>
      <c r="C24" s="64" t="inlineStr">
        <is>
          <t>更高的销售额和品牌曝光度</t>
        </is>
      </c>
      <c r="D24" s="64" t="inlineStr">
        <is>
          <t>Financial</t>
        </is>
      </c>
      <c r="E24" s="64" t="inlineStr">
        <is>
          <t>Positive</t>
        </is>
      </c>
      <c r="F24" s="64" t="inlineStr">
        <is>
          <t>我们通过将Sparkinity的总收入在所有品牌之间进行分配，并假设每个品牌保留50%的销售额作为毛收入，来估算每个品牌的年度财务影响。</t>
        </is>
      </c>
      <c r="G24" s="25" t="inlineStr">
        <is>
          <t>（Sparkinity 收入 ÷ 品牌数量）× 品牌保留率</t>
        </is>
      </c>
      <c r="H24" s="18" t="inlineStr">
        <is>
          <t>每个品牌的美元金额</t>
        </is>
      </c>
      <c r="I24" s="18" t="n">
        <v>100</v>
      </c>
      <c r="J24" s="18" t="inlineStr">
        <is>
          <t>我们假设品牌保留一半的销售收入。</t>
        </is>
      </c>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row>
    <row r="25" ht="13" customHeight="1" s="74">
      <c r="A25" s="63" t="inlineStr">
        <is>
          <t>品牌与供应商</t>
        </is>
      </c>
      <c r="B25" s="64" t="inlineStr">
        <is>
          <t>减少市场营销负担</t>
        </is>
      </c>
      <c r="C25" s="64" t="inlineStr">
        <is>
          <t>降低客户获取成本</t>
        </is>
      </c>
      <c r="D25" s="64" t="inlineStr">
        <is>
          <t>Financial</t>
        </is>
      </c>
      <c r="E25" s="64" t="inlineStr">
        <is>
          <t>Positive</t>
        </is>
      </c>
      <c r="F25" s="64" t="inlineStr">
        <is>
          <t>比较通过Sparkinity与直接营销获取客户的成本；每年获取10-20个零售商 × 每个客户节省$200-$400的客户获取成本。</t>
        </is>
      </c>
      <c r="G25" s="25" t="n">
        <v>300</v>
      </c>
      <c r="H25" s="18" t="inlineStr">
        <is>
          <t>每个品牌的美元金额</t>
        </is>
      </c>
      <c r="I25" s="18" t="n">
        <v>100</v>
      </c>
      <c r="J25" s="18" t="inlineStr">
        <is>
          <t>我们估计每个品牌每年的营销成本节省在$2,000到$8,000之间，假设品牌每年通过Sparkinity获得10到20个零售商，并且与自己操作相比，每个零售商节省$200到$400。</t>
        </is>
      </c>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row>
    <row r="26" ht="13" customHeight="1" s="74">
      <c r="A26" s="63" t="inlineStr">
        <is>
          <t>Consumers</t>
        </is>
      </c>
      <c r="B26" s="64" t="inlineStr">
        <is>
          <t>更丰富的产品种类</t>
        </is>
      </c>
      <c r="C26" s="64" t="inlineStr">
        <is>
          <t>提高满意度和选择性</t>
        </is>
      </c>
      <c r="D26" s="64" t="inlineStr">
        <is>
          <t>Social</t>
        </is>
      </c>
      <c r="E26" s="64" t="inlineStr">
        <is>
          <t>Positive</t>
        </is>
      </c>
      <c r="F26" s="64" t="inlineStr">
        <is>
          <t>行为经济学的研究通常估计，消费者因选择或定制增加而获得的附加价值为每个产品类别每年5至20美元，即使没有价格变化。</t>
        </is>
      </c>
      <c r="G26" s="25" t="n">
        <v>1</v>
      </c>
      <c r="H26" s="18" t="inlineStr">
        <is>
          <t>每位客户每年美元金额</t>
        </is>
      </c>
      <c r="I26" s="18" t="n">
        <v>100</v>
      </c>
      <c r="J26" s="18" t="inlineStr">
        <is>
          <t>我们通过为消费者剩余分配美元价值来估计增加产品多样性的社会效益——消费者对独特或偏好商品的访问所赋予的额外价值，超出他们所支付的金额；每次购买价值5-10美元 × 每年2-3次购买。</t>
        </is>
      </c>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row>
    <row r="27" ht="16" customHeight="1" s="74">
      <c r="A27" s="63" t="inlineStr">
        <is>
          <t>Consumers</t>
        </is>
      </c>
      <c r="B27" s="64" t="inlineStr">
        <is>
          <t>潜在的价格上涨</t>
        </is>
      </c>
      <c r="C27" s="64" t="inlineStr">
        <is>
          <t>如果零售商将采购费用转嫁，成本将更高。</t>
        </is>
      </c>
      <c r="D27" s="64" t="inlineStr">
        <is>
          <t>Financial</t>
        </is>
      </c>
      <c r="E27" s="64" t="inlineStr">
        <is>
          <t>Negative</t>
        </is>
      </c>
      <c r="F27" s="64" t="inlineStr">
        <is>
          <t>每位消费者的财务影响 = 每位客户的年消费 × 通货膨胀或费用增加率</t>
        </is>
      </c>
      <c r="G27" s="25" t="n">
        <v>5</v>
      </c>
      <c r="H27" s="18" t="inlineStr">
        <is>
          <t>每位客户每年美元</t>
        </is>
      </c>
      <c r="I27" s="18" t="n">
        <v>100</v>
      </c>
      <c r="J27" s="56" t="inlineStr">
        <is>
          <t>我们通过对每位消费者的实际年度消费（如果由Sparkinity提供）应用保守的价格上涨（基于通货膨胀或平台动态）来估算消费者的财务负担。</t>
        </is>
      </c>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row>
    <row r="28" ht="16" customHeight="1" s="74">
      <c r="A28" s="63" t="inlineStr">
        <is>
          <t>物流与运输服务提供商</t>
        </is>
      </c>
      <c r="B28" s="64" t="inlineStr">
        <is>
          <t>增加的运输量</t>
        </is>
      </c>
      <c r="C28" s="64" t="inlineStr">
        <is>
          <t>物流公司的收入增加</t>
        </is>
      </c>
      <c r="D28" s="64" t="inlineStr">
        <is>
          <t>Financial</t>
        </is>
      </c>
      <c r="E28" s="64" t="inlineStr">
        <is>
          <t>Positive</t>
        </is>
      </c>
      <c r="F28" s="64" t="inlineStr">
        <is>
          <t>通过根据到主要英国城市的平均距离计算排放量，并将每千克二氧化碳当量的社会成本定为0.236美元，来估算每次运输的碳排放。</t>
        </is>
      </c>
      <c r="G28" s="25" t="n">
        <v>8000</v>
      </c>
      <c r="H28" s="18" t="inlineStr">
        <is>
          <t>每年美元</t>
        </is>
      </c>
      <c r="I28" s="18" t="n">
        <v>100</v>
      </c>
      <c r="J28" s="56" t="inlineStr">
        <is>
          <t>我们根据Sparkinity报告的运输支出或假设每个货件5到10美元来估算物流服务提供商的年收入，订单量则根据公司收入和平均订单大小推断。</t>
        </is>
      </c>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row>
    <row r="29" ht="18" customHeight="1" s="74">
      <c r="A29" s="63" t="inlineStr">
        <is>
          <t>物流与运输服务提供商</t>
        </is>
      </c>
      <c r="B29" s="64" t="inlineStr">
        <is>
          <t>环境影响</t>
        </is>
      </c>
      <c r="C29" s="64" t="inlineStr">
        <is>
          <t>航运导致的碳排放增加</t>
        </is>
      </c>
      <c r="D29" s="64" t="inlineStr">
        <is>
          <t>环境</t>
        </is>
      </c>
      <c r="E29" s="64" t="inlineStr">
        <is>
          <t>Negative</t>
        </is>
      </c>
      <c r="F29" s="64" t="inlineStr">
        <is>
          <t>计算额外运输的二氧化碳排放量，并通过碳信用成本进行货币化（距离 × 排放因子 × 重量 × 碳的社会成本）</t>
        </is>
      </c>
      <c r="G29" s="57" t="n">
        <v>0.035</v>
      </c>
      <c r="H29" s="58" t="inlineStr">
        <is>
          <t>每次发货的美元金额</t>
        </is>
      </c>
      <c r="I29" s="26" t="n">
        <v>100</v>
      </c>
      <c r="J29" s="54" t="inlineStr">
        <is>
          <t>1千克货物在150英里运输的碳排放为0.1693千克CO₂e/吨-英里。</t>
        </is>
      </c>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row>
    <row r="30" ht="16" customHeight="1" s="74">
      <c r="A30" s="63" t="inlineStr">
        <is>
          <t>环境与社会</t>
        </is>
      </c>
      <c r="B30" s="64" t="inlineStr">
        <is>
          <t>可持续产品选项</t>
        </is>
      </c>
      <c r="C30" s="64" t="inlineStr">
        <is>
          <t>降低环境足迹</t>
        </is>
      </c>
      <c r="D30" s="64" t="inlineStr">
        <is>
          <t>环境</t>
        </is>
      </c>
      <c r="E30" s="64" t="inlineStr">
        <is>
          <t>Positive</t>
        </is>
      </c>
      <c r="F30" s="64" t="inlineStr">
        <is>
          <t>我们通过计算传统产品与可持续产品之间的碳排放差异来估算环境效益，然后将碳的社会成本应用于这一差异。</t>
        </is>
      </c>
      <c r="G30" s="57" t="n">
        <v>1.15</v>
      </c>
      <c r="H30" s="20" t="inlineStr">
        <is>
          <t>每个产品的美元价格</t>
        </is>
      </c>
      <c r="I30" s="20" t="n">
        <v>100</v>
      </c>
      <c r="J30" s="54" t="inlineStr">
        <is>
          <t>每个产品减少4.9公斤二氧化碳当量 × $0.236/公斤二氧化碳当量</t>
        </is>
      </c>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row>
    <row r="31" ht="16" customHeight="1" s="74">
      <c r="A31" s="63" t="inlineStr">
        <is>
          <t>环境与社会</t>
        </is>
      </c>
      <c r="B31" s="64" t="inlineStr">
        <is>
          <t>包装废弃物</t>
        </is>
      </c>
      <c r="C31" s="64" t="inlineStr">
        <is>
          <t>增加填埋场贡献</t>
        </is>
      </c>
      <c r="D31" s="64" t="inlineStr">
        <is>
          <t>环境</t>
        </is>
      </c>
      <c r="E31" s="64" t="inlineStr">
        <is>
          <t>Negative</t>
        </is>
      </c>
      <c r="F31" s="64" t="inlineStr">
        <is>
          <t>通过计算每个产品的包装平均二氧化碳当量（CO₂e）排放量，并将其乘以碳的社会成本，来估算包装废物的环境成本。（0.25 × 0.236）</t>
        </is>
      </c>
      <c r="G31" s="80" t="n">
        <v>0.064</v>
      </c>
      <c r="H31" s="20" t="inlineStr">
        <is>
          <t>每次发货的美元金额</t>
        </is>
      </c>
      <c r="I31" s="20" t="n">
        <v>100</v>
      </c>
      <c r="J31" s="54" t="inlineStr">
        <is>
          <t>9% 包装重量；3 千克 CO₂e/千克；$0.236/千克 CO₂e</t>
        </is>
      </c>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row>
    <row r="32" ht="16" customHeight="1" s="74">
      <c r="A32" s="63" t="inlineStr">
        <is>
          <t>环境与社会</t>
        </is>
      </c>
      <c r="B32" s="64" t="inlineStr">
        <is>
          <t>Sparkinity使创作者和早期品牌（例如艺术家、学生、小型企业家）能够在无需前期资本或物流基础设施的情况下，接触到广泛的客户群体，从而降低了市场准入和商业成立的障碍。</t>
        </is>
      </c>
      <c r="C32" s="64" t="inlineStr">
        <is>
          <t>更强大的地方经济</t>
        </is>
      </c>
      <c r="D32" s="64" t="inlineStr">
        <is>
          <t>金融 / 社会</t>
        </is>
      </c>
      <c r="E32" s="64" t="inlineStr">
        <is>
          <t>Positive</t>
        </is>
      </c>
      <c r="F32" s="64" t="inlineStr">
        <is>
          <t>通过识别小型零售和电子商务企业所面临的成本类别，并计算通过Sparkinity的信用、分销渠道和谈判服务所节省的费用，从而为每个合作伙伴带来的财务收益。</t>
        </is>
      </c>
      <c r="G32" s="30" t="n">
        <v>10000</v>
      </c>
      <c r="H32" s="29" t="inlineStr">
        <is>
          <t>每个合作伙伴</t>
        </is>
      </c>
      <c r="I32" s="29" t="n">
        <v>1000</v>
      </c>
      <c r="J32" s="55" t="inlineStr">
        <is>
          <t>根据商业咨询机构的创业基准，我们估计Sparkinity帮助小型品牌合作伙伴避免了5,000到15,000美元的创业成本，主要通过减少前期库存需求、消除他们自己店面或网络平台的需求，以及提供对客户基础的即时访问。</t>
        </is>
      </c>
      <c r="K32" s="29" t="n"/>
      <c r="L32" s="29" t="n"/>
      <c r="M32" s="29" t="n"/>
      <c r="N32" s="29" t="n"/>
      <c r="O32" s="29" t="n"/>
      <c r="P32" s="29" t="n"/>
      <c r="Q32" s="29" t="n"/>
      <c r="R32" s="29" t="n"/>
      <c r="S32" s="29" t="n"/>
      <c r="T32" s="29" t="n"/>
      <c r="U32" s="29" t="n"/>
      <c r="V32" s="29" t="n"/>
      <c r="W32" s="29" t="n"/>
      <c r="X32" s="29" t="n"/>
      <c r="Y32" s="29" t="n"/>
      <c r="Z32" s="29" t="n"/>
      <c r="AA32" s="29" t="n"/>
      <c r="AB32" s="29" t="n"/>
      <c r="AC32" s="29" t="n"/>
      <c r="AD32" s="29" t="n"/>
      <c r="AE32" s="29" t="n"/>
      <c r="AF32" s="29" t="n"/>
      <c r="AG32" s="29" t="n"/>
    </row>
    <row r="33" ht="13" customHeight="1" s="74">
      <c r="A33" s="20" t="n"/>
      <c r="B33" s="20" t="n"/>
      <c r="C33" s="20" t="n"/>
      <c r="D33" s="20" t="n"/>
      <c r="E33" s="20" t="n"/>
      <c r="F33" s="28" t="n"/>
      <c r="G33" s="28" t="n"/>
      <c r="H33" s="20" t="n"/>
      <c r="I33" s="20"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c r="AE33" s="20" t="n"/>
      <c r="AF33" s="20" t="n"/>
      <c r="AG33" s="20" t="n"/>
    </row>
    <row r="34" ht="13.5" customHeight="1" s="74">
      <c r="A34" s="20" t="n"/>
      <c r="B34" s="20" t="n"/>
      <c r="C34" s="20" t="n"/>
      <c r="D34" s="20" t="n"/>
      <c r="E34" s="20" t="n"/>
      <c r="F34" s="28" t="n"/>
      <c r="G34" s="28"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row>
    <row r="35" ht="13" customHeight="1" s="74">
      <c r="A35" s="18" t="n"/>
      <c r="B35" s="18" t="n"/>
      <c r="C35" s="18" t="n"/>
      <c r="D35" s="18" t="n"/>
      <c r="E35" s="18" t="n"/>
      <c r="F35" s="18" t="n"/>
      <c r="G35" s="25"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row>
    <row r="36" ht="13" customHeight="1" s="74">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row>
    <row r="37" ht="13" customHeight="1" s="74">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row>
    <row r="38" ht="13" customHeight="1" s="74">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row>
    <row r="39" ht="13" customHeight="1" s="74">
      <c r="A39" s="41" t="inlineStr">
        <is>
          <t>第三节</t>
        </is>
      </c>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c r="AE39" s="41" t="n"/>
      <c r="AF39" s="41" t="n"/>
      <c r="AG39" s="41" t="n"/>
    </row>
    <row r="40" ht="13" customHeight="1" s="74">
      <c r="A40" s="42" t="inlineStr">
        <is>
          <t>投资组合公司输入（真实）</t>
        </is>
      </c>
      <c r="B40" s="42" t="inlineStr">
        <is>
          <t>Value</t>
        </is>
      </c>
      <c r="C40" s="42" t="inlineStr">
        <is>
          <t>Unit</t>
        </is>
      </c>
      <c r="D40" s="42" t="inlineStr">
        <is>
          <t>Note</t>
        </is>
      </c>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c r="AA40" s="42" t="n"/>
      <c r="AB40" s="42" t="n"/>
      <c r="AC40" s="42" t="n"/>
      <c r="AD40" s="42" t="n"/>
      <c r="AE40" s="42" t="n"/>
      <c r="AF40" s="42" t="n"/>
      <c r="AG40" s="42" t="n"/>
    </row>
    <row r="41" ht="13" customHeight="1" s="74">
      <c r="A41" s="73"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c r="AA41" s="20" t="n"/>
      <c r="AB41" s="20" t="n"/>
      <c r="AC41" s="20" t="n"/>
      <c r="AD41" s="20" t="n"/>
      <c r="AE41" s="20" t="n"/>
      <c r="AF41" s="20" t="n"/>
      <c r="AG41" s="20" t="n"/>
    </row>
    <row r="42"/>
    <row r="43" ht="13" customHeight="1" s="74">
      <c r="A43" s="73"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row>
    <row r="44" ht="13" customHeight="1" s="74">
      <c r="A44" s="32"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c r="AA44" s="20" t="n"/>
      <c r="AB44" s="20" t="n"/>
      <c r="AC44" s="20" t="n"/>
      <c r="AD44" s="20" t="n"/>
      <c r="AE44" s="20" t="n"/>
      <c r="AF44" s="20" t="n"/>
      <c r="AG44" s="20" t="n"/>
    </row>
    <row r="45" ht="13" customHeight="1" s="74">
      <c r="A45" s="42" t="inlineStr">
        <is>
          <t>投资公司输入（如有必要，预期）</t>
        </is>
      </c>
      <c r="B45" s="42" t="inlineStr">
        <is>
          <t>Value</t>
        </is>
      </c>
      <c r="C45" s="42" t="inlineStr">
        <is>
          <t>Unit</t>
        </is>
      </c>
      <c r="D45" s="42" t="inlineStr">
        <is>
          <t>Note</t>
        </is>
      </c>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c r="AA45" s="42" t="n"/>
      <c r="AB45" s="42" t="n"/>
      <c r="AC45" s="42" t="n"/>
      <c r="AD45" s="42" t="n"/>
      <c r="AE45" s="42" t="n"/>
      <c r="AF45" s="42" t="n"/>
      <c r="AG45" s="42" t="n"/>
    </row>
    <row r="46" ht="13" customHeight="1" s="74">
      <c r="A46" s="60" t="inlineStr">
        <is>
          <t>Input</t>
        </is>
      </c>
      <c r="B46" s="60" t="inlineStr">
        <is>
          <t>Value</t>
        </is>
      </c>
      <c r="C46" s="60" t="inlineStr">
        <is>
          <t>Unit</t>
        </is>
      </c>
      <c r="D46" s="60" t="inlineStr">
        <is>
          <t>理由</t>
        </is>
      </c>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c r="AA46" s="20" t="n"/>
      <c r="AB46" s="20" t="n"/>
      <c r="AC46" s="20" t="n"/>
      <c r="AD46" s="20" t="n"/>
      <c r="AE46" s="20" t="n"/>
      <c r="AF46" s="20" t="n"/>
      <c r="AG46" s="20" t="n"/>
    </row>
    <row r="47" ht="15" customHeight="1" s="74">
      <c r="A47" s="4" t="inlineStr">
        <is>
          <t>年度总收入</t>
        </is>
      </c>
      <c r="B47" s="79" t="n">
        <v>400000</v>
      </c>
      <c r="C47" s="4" t="inlineStr">
        <is>
          <t>USD/year</t>
        </is>
      </c>
      <c r="D47" s="4" t="inlineStr">
        <is>
          <t>估算使用2.5倍的收入倍数，这是早期阶段B2B平台常见的做法。GBP 1M ÷ 2.5 ≈ GBP 400K ≈ USD 400K。</t>
        </is>
      </c>
      <c r="E47" s="20" t="n"/>
      <c r="F47" s="20" t="n"/>
      <c r="G47" s="66" t="inlineStr">
        <is>
          <t>Mechanism</t>
        </is>
      </c>
      <c r="H47" s="67" t="inlineStr">
        <is>
          <t>利益相关者</t>
        </is>
      </c>
      <c r="I47" s="67" t="inlineStr">
        <is>
          <t>Type</t>
        </is>
      </c>
      <c r="J47" s="67" t="inlineStr">
        <is>
          <t>Impact</t>
        </is>
      </c>
      <c r="K47" s="67" t="inlineStr">
        <is>
          <t>代理/假设</t>
        </is>
      </c>
      <c r="L47" s="67" t="inlineStr">
        <is>
          <t>Formula</t>
        </is>
      </c>
      <c r="M47" s="67" t="inlineStr">
        <is>
          <t>Units</t>
        </is>
      </c>
      <c r="N47" s="67" t="inlineStr">
        <is>
          <t>Source</t>
        </is>
      </c>
      <c r="O47" s="20" t="n"/>
      <c r="P47" s="20" t="n"/>
      <c r="Q47" s="20" t="n"/>
      <c r="R47" s="20" t="n"/>
      <c r="S47" s="20" t="n"/>
      <c r="T47" s="20" t="n"/>
      <c r="U47" s="20" t="n"/>
      <c r="V47" s="20" t="n"/>
      <c r="W47" s="20" t="n"/>
      <c r="X47" s="20" t="n"/>
      <c r="Y47" s="20" t="n"/>
      <c r="Z47" s="20" t="n"/>
      <c r="AA47" s="20" t="n"/>
      <c r="AB47" s="20" t="n"/>
      <c r="AC47" s="20" t="n"/>
      <c r="AD47" s="20" t="n"/>
      <c r="AE47" s="20" t="n"/>
      <c r="AF47" s="20" t="n"/>
      <c r="AG47" s="20" t="n"/>
    </row>
    <row r="48" ht="15" customHeight="1" s="74">
      <c r="A48" s="4" t="inlineStr">
        <is>
          <t>活跃零售商数量</t>
        </is>
      </c>
      <c r="B48" s="4" t="n">
        <v>200</v>
      </c>
      <c r="C48" s="4" t="inlineStr">
        <is>
          <t>Retailers</t>
        </is>
      </c>
      <c r="D48" s="4" t="inlineStr">
        <is>
          <t>早期批发平台的行业基准表明，在这个收入水平下，大约有200家活跃零售商。根据反馈进行调整。</t>
        </is>
      </c>
      <c r="E48" s="20" t="n"/>
      <c r="F48" s="20" t="n"/>
      <c r="G48" s="62" t="inlineStr">
        <is>
          <t>访问独特品牌</t>
        </is>
      </c>
      <c r="H48" s="62" t="inlineStr">
        <is>
          <t>独立零售商</t>
        </is>
      </c>
      <c r="I48" s="62" t="inlineStr">
        <is>
          <t>Financial</t>
        </is>
      </c>
      <c r="J48" s="62" t="inlineStr">
        <is>
          <t>Positive</t>
        </is>
      </c>
      <c r="K48" s="62" t="inlineStr">
        <is>
          <t>零售商收入增加1,000美元（基于10%的10,000美元估算）</t>
        </is>
      </c>
      <c r="L48" s="62" t="inlineStr">
        <is>
          <t>零售商收入提升 = 平均提升百分比 × Sparkinity 估计的零售商收入</t>
        </is>
      </c>
      <c r="M48" s="62" t="inlineStr">
        <is>
          <t>每个零售商每年$</t>
        </is>
      </c>
      <c r="N48" s="62" t="inlineStr">
        <is>
          <t>来自Faire和Abound的行业轶事（10-30%的提升）</t>
        </is>
      </c>
      <c r="O48" s="20" t="n"/>
      <c r="P48" s="20" t="n"/>
      <c r="Q48" s="20" t="n"/>
      <c r="R48" s="20" t="n"/>
      <c r="S48" s="20" t="n"/>
      <c r="T48" s="20" t="n"/>
      <c r="U48" s="20" t="n"/>
      <c r="V48" s="20" t="n"/>
      <c r="W48" s="20" t="n"/>
      <c r="X48" s="20" t="n"/>
      <c r="Y48" s="20" t="n"/>
      <c r="Z48" s="20" t="n"/>
      <c r="AA48" s="20" t="n"/>
      <c r="AB48" s="20" t="n"/>
      <c r="AC48" s="20" t="n"/>
      <c r="AD48" s="20" t="n"/>
      <c r="AE48" s="20" t="n"/>
      <c r="AF48" s="20" t="n"/>
      <c r="AG48" s="20" t="n"/>
    </row>
    <row r="49" ht="15" customHeight="1" s="74">
      <c r="A49" s="4" t="inlineStr">
        <is>
          <t>活跃品牌/供应商数量</t>
        </is>
      </c>
      <c r="B49" s="4" t="n">
        <v>40</v>
      </c>
      <c r="C49" s="4" t="inlineStr">
        <is>
          <t>品牌/供应商</t>
        </is>
      </c>
      <c r="D49" s="4" t="inlineStr">
        <is>
          <t>假设每个品牌有5个零售商，这与B2B平台的典型采用曲线相符。</t>
        </is>
      </c>
      <c r="E49" s="20" t="n"/>
      <c r="F49" s="20" t="n"/>
      <c r="G49" s="62" t="inlineStr">
        <is>
          <t>降低采购成本</t>
        </is>
      </c>
      <c r="H49" s="62" t="inlineStr">
        <is>
          <t>独立零售商</t>
        </is>
      </c>
      <c r="I49" s="62" t="inlineStr">
        <is>
          <t>Financial</t>
        </is>
      </c>
      <c r="J49" s="62" t="inlineStr">
        <is>
          <t>Positive</t>
        </is>
      </c>
      <c r="K49" s="62" t="inlineStr">
        <is>
          <t>每个零售商节省5,000美元成本</t>
        </is>
      </c>
      <c r="L49" s="62" t="inlineStr">
        <is>
          <t>节省 = 预计的平均采购节省</t>
        </is>
      </c>
      <c r="M49" s="62" t="inlineStr">
        <is>
          <t>每个零售商每年的美元金额</t>
        </is>
      </c>
      <c r="N49" s="62" t="inlineStr">
        <is>
          <t>零售初创企业基准</t>
        </is>
      </c>
      <c r="O49" s="20" t="n"/>
      <c r="P49" s="20" t="n"/>
      <c r="Q49" s="20" t="n"/>
      <c r="R49" s="20" t="n"/>
      <c r="S49" s="20" t="n"/>
      <c r="T49" s="20" t="n"/>
      <c r="U49" s="20" t="n"/>
      <c r="V49" s="20" t="n"/>
      <c r="W49" s="20" t="n"/>
      <c r="X49" s="20" t="n"/>
      <c r="Y49" s="20" t="n"/>
      <c r="Z49" s="20" t="n"/>
      <c r="AA49" s="20" t="n"/>
      <c r="AB49" s="20" t="n"/>
      <c r="AC49" s="20" t="n"/>
      <c r="AD49" s="20" t="n"/>
      <c r="AE49" s="20" t="n"/>
      <c r="AF49" s="20" t="n"/>
      <c r="AG49" s="20" t="n"/>
    </row>
    <row r="50" ht="15" customHeight="1" s="74">
      <c r="A50" s="4" t="inlineStr">
        <is>
          <t>假设平均订单价值（AOV）</t>
        </is>
      </c>
      <c r="B50" s="79" t="n">
        <v>50</v>
      </c>
      <c r="C50" s="4" t="inlineStr">
        <is>
          <t>USD/order</t>
        </is>
      </c>
      <c r="D50" s="4" t="inlineStr">
        <is>
          <t>基于典型的B2B批发市场针对精选商品的平均水平。参考：Faire，Abound行业基准。</t>
        </is>
      </c>
      <c r="E50" s="20" t="n"/>
      <c r="F50" s="20" t="n"/>
      <c r="G50" s="62" t="inlineStr">
        <is>
          <t>平台依赖风险</t>
        </is>
      </c>
      <c r="H50" s="62" t="inlineStr">
        <is>
          <t>独立零售商</t>
        </is>
      </c>
      <c r="I50" s="62" t="inlineStr">
        <is>
          <t>Financial</t>
        </is>
      </c>
      <c r="J50" s="62" t="inlineStr">
        <is>
          <t>Negative</t>
        </is>
      </c>
      <c r="K50" s="62" t="inlineStr">
        <is>
          <t>$5,000 风险收入（$10,000 估计的 50%）</t>
        </is>
      </c>
      <c r="L50" s="62" t="inlineStr">
        <is>
          <t>风险收入 = 估计零售商收入 × 50%</t>
        </is>
      </c>
      <c r="M50" s="62" t="inlineStr">
        <is>
          <t>每个零售商每年的美元金额</t>
        </is>
      </c>
      <c r="N50" s="62" t="inlineStr">
        <is>
          <t>场景假设</t>
        </is>
      </c>
      <c r="O50" s="20" t="n"/>
      <c r="P50" s="20" t="n"/>
      <c r="Q50" s="20" t="n"/>
      <c r="R50" s="20" t="n"/>
      <c r="S50" s="20" t="n"/>
      <c r="T50" s="20" t="n"/>
      <c r="U50" s="20" t="n"/>
      <c r="V50" s="20" t="n"/>
      <c r="W50" s="20" t="n"/>
      <c r="X50" s="20" t="n"/>
      <c r="Y50" s="20" t="n"/>
      <c r="Z50" s="20" t="n"/>
      <c r="AA50" s="20" t="n"/>
      <c r="AB50" s="20" t="n"/>
      <c r="AC50" s="20" t="n"/>
      <c r="AD50" s="20" t="n"/>
      <c r="AE50" s="20" t="n"/>
      <c r="AF50" s="20" t="n"/>
      <c r="AG50" s="20" t="n"/>
    </row>
    <row r="51" ht="15" customHeight="1" s="74">
      <c r="A51" s="4" t="inlineStr">
        <is>
          <t>每年平均订单数量</t>
        </is>
      </c>
      <c r="B51" s="59" t="n">
        <v>8000</v>
      </c>
      <c r="C51" s="4" t="inlineStr">
        <is>
          <t>每年订单</t>
        </is>
      </c>
      <c r="D51" s="4" t="inlineStr">
        <is>
          <t>来源于收入 ÷ 每订单平均价值 → $400,000 ÷ $50 = 8,000 个订单/年。</t>
        </is>
      </c>
      <c r="E51" s="20" t="n"/>
      <c r="F51" s="20" t="n"/>
      <c r="G51" s="62" t="inlineStr">
        <is>
          <t>减少市场营销负担</t>
        </is>
      </c>
      <c r="H51" s="62" t="inlineStr">
        <is>
          <t>品牌和供应商</t>
        </is>
      </c>
      <c r="I51" s="62" t="inlineStr">
        <is>
          <t>Financial</t>
        </is>
      </c>
      <c r="J51" s="62" t="inlineStr">
        <is>
          <t>Positive</t>
        </is>
      </c>
      <c r="K51" s="62" t="inlineStr">
        <is>
          <t>每个零售商避免的客户获取成本为300美元，× 大约10个新零售商 = 3,000美元</t>
        </is>
      </c>
      <c r="L51" s="62" t="inlineStr">
        <is>
          <t>避免的CAC × 新零售商关系的平均数量</t>
        </is>
      </c>
      <c r="M51" s="62" t="inlineStr">
        <is>
          <t>每个品牌每年 $</t>
        </is>
      </c>
      <c r="N51" s="62" t="inlineStr">
        <is>
          <t>B2B市场CAC基准</t>
        </is>
      </c>
      <c r="O51" s="20" t="n"/>
      <c r="P51" s="20" t="n"/>
      <c r="Q51" s="20" t="n"/>
      <c r="R51" s="20" t="n"/>
      <c r="S51" s="20" t="n"/>
      <c r="T51" s="20" t="n"/>
      <c r="U51" s="20" t="n"/>
      <c r="V51" s="20" t="n"/>
      <c r="W51" s="20" t="n"/>
      <c r="X51" s="20" t="n"/>
      <c r="Y51" s="20" t="n"/>
      <c r="Z51" s="20" t="n"/>
      <c r="AA51" s="20" t="n"/>
      <c r="AB51" s="20" t="n"/>
      <c r="AC51" s="20" t="n"/>
      <c r="AD51" s="20" t="n"/>
      <c r="AE51" s="20" t="n"/>
      <c r="AF51" s="20" t="n"/>
      <c r="AG51" s="20" t="n"/>
    </row>
    <row r="52" ht="15" customHeight="1" s="74">
      <c r="A52" s="4" t="inlineStr">
        <is>
          <t>平均装运重量</t>
        </is>
      </c>
      <c r="B52" s="4" t="n">
        <v>1</v>
      </c>
      <c r="C52" s="4" t="inlineStr">
        <is>
          <t>kg/order</t>
        </is>
      </c>
      <c r="D52" s="4" t="inlineStr">
        <is>
          <t>基于小包裹平均重量的默认假设。请与公司确认以确保准确性。</t>
        </is>
      </c>
      <c r="E52" s="20" t="n"/>
      <c r="F52" s="20" t="n"/>
      <c r="G52" s="62" t="inlineStr">
        <is>
          <t>来自竞争的价格压力</t>
        </is>
      </c>
      <c r="H52" s="62" t="inlineStr">
        <is>
          <t>品牌和供应商</t>
        </is>
      </c>
      <c r="I52" s="62" t="inlineStr">
        <is>
          <t>Financial</t>
        </is>
      </c>
      <c r="J52" s="62" t="inlineStr">
        <is>
          <t>Negative</t>
        </is>
      </c>
      <c r="K52" s="62" t="inlineStr">
        <is>
          <t>每个品牌损失$2,000（基于$20,000市场收入的10%利润率）</t>
        </is>
      </c>
      <c r="L52" s="62" t="inlineStr">
        <is>
          <t>损失 = 平均利润损失 × 市场收入</t>
        </is>
      </c>
      <c r="M52" s="62" t="inlineStr">
        <is>
          <t>每个品牌每年$</t>
        </is>
      </c>
      <c r="N52" s="62" t="inlineStr">
        <is>
          <t>市场定价研究</t>
        </is>
      </c>
      <c r="O52" s="20" t="n"/>
      <c r="P52" s="20" t="n"/>
      <c r="Q52" s="20" t="n"/>
      <c r="R52" s="20" t="n"/>
      <c r="S52" s="20" t="n"/>
      <c r="T52" s="20" t="n"/>
      <c r="U52" s="20" t="n"/>
      <c r="V52" s="20" t="n"/>
      <c r="W52" s="20" t="n"/>
      <c r="X52" s="20" t="n"/>
      <c r="Y52" s="20" t="n"/>
      <c r="Z52" s="20" t="n"/>
      <c r="AA52" s="20" t="n"/>
      <c r="AB52" s="20" t="n"/>
      <c r="AC52" s="20" t="n"/>
      <c r="AD52" s="20" t="n"/>
      <c r="AE52" s="20" t="n"/>
      <c r="AF52" s="20" t="n"/>
      <c r="AG52" s="20" t="n"/>
    </row>
    <row r="53" ht="15" customHeight="1" s="74">
      <c r="A53" s="4" t="inlineStr">
        <is>
          <t>碳的社会成本</t>
        </is>
      </c>
      <c r="B53" s="81" t="n">
        <v>0.236</v>
      </c>
      <c r="C53" s="4" t="inlineStr">
        <is>
          <t>美元/千克 CO₂e</t>
        </is>
      </c>
      <c r="D53" s="4" t="inlineStr">
        <is>
          <t>所用标准：IFVI 方法论。</t>
        </is>
      </c>
      <c r="E53" s="20" t="n"/>
      <c r="F53" s="20" t="n"/>
      <c r="G53" s="62" t="inlineStr">
        <is>
          <t>更丰富的产品种类</t>
        </is>
      </c>
      <c r="H53" s="62" t="inlineStr">
        <is>
          <t>Consumers</t>
        </is>
      </c>
      <c r="I53" s="62" t="inlineStr">
        <is>
          <t>Social</t>
        </is>
      </c>
      <c r="J53" s="62" t="inlineStr">
        <is>
          <t>Positive</t>
        </is>
      </c>
      <c r="K53" s="62" t="inlineStr">
        <is>
          <t>每位客户每年1美元（来自选择的消费者剩余）</t>
        </is>
      </c>
      <c r="L53" s="62" t="inlineStr">
        <is>
          <t>收益 = $1 × 客户数量</t>
        </is>
      </c>
      <c r="M53" s="62" t="inlineStr">
        <is>
          <t>每个消费者每年$</t>
        </is>
      </c>
      <c r="N53" s="62" t="inlineStr">
        <is>
          <t>消费者剩余研究（Bento 等，Train &amp; McFadden）</t>
        </is>
      </c>
      <c r="O53" s="20" t="n"/>
      <c r="P53" s="20" t="n"/>
      <c r="Q53" s="20" t="n"/>
      <c r="R53" s="20" t="n"/>
      <c r="S53" s="20" t="n"/>
      <c r="T53" s="20" t="n"/>
      <c r="U53" s="20" t="n"/>
      <c r="V53" s="20" t="n"/>
      <c r="W53" s="20" t="n"/>
      <c r="X53" s="20" t="n"/>
      <c r="Y53" s="20" t="n"/>
      <c r="Z53" s="20" t="n"/>
      <c r="AA53" s="20" t="n"/>
      <c r="AB53" s="20" t="n"/>
      <c r="AC53" s="20" t="n"/>
      <c r="AD53" s="20" t="n"/>
      <c r="AE53" s="20" t="n"/>
      <c r="AF53" s="20" t="n"/>
      <c r="AG53" s="20" t="n"/>
    </row>
    <row r="54" ht="15" customHeight="1" s="74">
      <c r="A54" s="4" t="inlineStr">
        <is>
          <t>平均批发价格（估计）</t>
        </is>
      </c>
      <c r="B54" s="81" t="n">
        <v>4</v>
      </c>
      <c r="C54" s="4" t="inlineStr">
        <is>
          <t>USD/unit</t>
        </is>
      </c>
      <c r="D54" s="4" t="inlineStr">
        <is>
          <t>基于可比产品的假设价值。能够进行零售利润估算。使用公司提供的定价进行更新以提高准确性。</t>
        </is>
      </c>
      <c r="E54" s="20" t="n"/>
      <c r="F54" s="20" t="n"/>
      <c r="G54" s="62" t="inlineStr">
        <is>
          <t>潜在的价格上涨</t>
        </is>
      </c>
      <c r="H54" s="62" t="inlineStr">
        <is>
          <t>Consumers</t>
        </is>
      </c>
      <c r="I54" s="62" t="inlineStr">
        <is>
          <t>Financial</t>
        </is>
      </c>
      <c r="J54" s="62" t="inlineStr">
        <is>
          <t>Negative</t>
        </is>
      </c>
      <c r="K54" s="62" t="inlineStr">
        <is>
          <t>$5 价格上涨 × $250 平均消费 = $12.50 损失</t>
        </is>
      </c>
      <c r="L54" s="62" t="inlineStr">
        <is>
          <t>损失 = 价格上涨 × 平均消费</t>
        </is>
      </c>
      <c r="M54" s="62" t="inlineStr">
        <is>
          <t>每位消费者每年$</t>
        </is>
      </c>
      <c r="N54" s="62" t="inlineStr">
        <is>
          <t>零售定价情景，与通货膨胀挂钩</t>
        </is>
      </c>
      <c r="O54" s="20" t="n"/>
      <c r="P54" s="20" t="n"/>
      <c r="Q54" s="20" t="n"/>
      <c r="R54" s="20" t="n"/>
      <c r="S54" s="20" t="n"/>
      <c r="T54" s="20" t="n"/>
      <c r="U54" s="20" t="n"/>
      <c r="V54" s="20" t="n"/>
      <c r="W54" s="20" t="n"/>
      <c r="X54" s="20" t="n"/>
      <c r="Y54" s="20" t="n"/>
      <c r="Z54" s="20" t="n"/>
      <c r="AA54" s="20" t="n"/>
      <c r="AB54" s="20" t="n"/>
      <c r="AC54" s="20" t="n"/>
      <c r="AD54" s="20" t="n"/>
      <c r="AE54" s="20" t="n"/>
      <c r="AF54" s="20" t="n"/>
      <c r="AG54" s="20" t="n"/>
    </row>
    <row r="55" ht="15" customHeight="1" s="74">
      <c r="A55" s="4" t="inlineStr">
        <is>
          <t>假定零售加价</t>
        </is>
      </c>
      <c r="B55" s="4" t="inlineStr">
        <is>
          <t>2x</t>
        </is>
      </c>
      <c r="C55" s="4" t="inlineStr">
        <is>
          <t>Multiplier</t>
        </is>
      </c>
      <c r="D55" s="4" t="inlineStr">
        <is>
          <t>小型独立零售商的行业标准。用于估算每单位零售商利润。</t>
        </is>
      </c>
      <c r="E55" s="20" t="n"/>
      <c r="F55" s="20" t="n"/>
      <c r="G55" s="62" t="inlineStr">
        <is>
          <t>增加的运输量</t>
        </is>
      </c>
      <c r="H55" s="62" t="inlineStr">
        <is>
          <t>物流服务提供商</t>
        </is>
      </c>
      <c r="I55" s="62" t="inlineStr">
        <is>
          <t>Financial</t>
        </is>
      </c>
      <c r="J55" s="62" t="inlineStr">
        <is>
          <t>Positive</t>
        </is>
      </c>
      <c r="K55" s="62" t="inlineStr">
        <is>
          <t>每公斤1美元 × 8,000公斤 = 8,000美元物流收入</t>
        </is>
      </c>
      <c r="L55" s="62" t="inlineStr">
        <is>
          <t>每千克$ × 估计运输重量</t>
        </is>
      </c>
      <c r="M55" s="62" t="inlineStr">
        <is>
          <t>$ per year</t>
        </is>
      </c>
      <c r="N55" s="62" t="inlineStr">
        <is>
          <t>航运行业收入基准</t>
        </is>
      </c>
      <c r="O55" s="20" t="n"/>
      <c r="P55" s="20" t="n"/>
      <c r="Q55" s="20" t="n"/>
      <c r="R55" s="20" t="n"/>
      <c r="S55" s="20" t="n"/>
      <c r="T55" s="20" t="n"/>
      <c r="U55" s="20" t="n"/>
      <c r="V55" s="20" t="n"/>
      <c r="W55" s="20" t="n"/>
      <c r="X55" s="20" t="n"/>
      <c r="Y55" s="20" t="n"/>
      <c r="Z55" s="20" t="n"/>
      <c r="AA55" s="20" t="n"/>
      <c r="AB55" s="20" t="n"/>
      <c r="AC55" s="20" t="n"/>
      <c r="AD55" s="20" t="n"/>
      <c r="AE55" s="20" t="n"/>
      <c r="AF55" s="20" t="n"/>
      <c r="AG55" s="20" t="n"/>
    </row>
    <row r="56" ht="15" customHeight="1" s="74">
      <c r="A56" s="4" t="inlineStr">
        <is>
          <t>年度产品销售单位数</t>
        </is>
      </c>
      <c r="B56" s="59" t="n">
        <v>100000</v>
      </c>
      <c r="C56" s="4" t="inlineStr">
        <is>
          <t>Units/year</t>
        </is>
      </c>
      <c r="D56" s="4" t="inlineStr">
        <is>
          <t>来源于收入 ÷ 假设的批发价格 → $400,000 ÷ $4 = 100,000 单位/年。</t>
        </is>
      </c>
      <c r="E56" s="20" t="n"/>
      <c r="F56" s="20" t="n"/>
      <c r="G56" s="62" t="inlineStr">
        <is>
          <t>航运产生的碳</t>
        </is>
      </c>
      <c r="H56" s="62" t="inlineStr">
        <is>
          <t>环境与社会</t>
        </is>
      </c>
      <c r="I56" s="62" t="inlineStr">
        <is>
          <t>环境</t>
        </is>
      </c>
      <c r="J56" s="62" t="inlineStr">
        <is>
          <t>Negative</t>
        </is>
      </c>
      <c r="K56" s="62" t="inlineStr">
        <is>
          <t>0.147 公斤 CO₂ × $0.236 SCC = 每次运输 $0.035</t>
        </is>
      </c>
      <c r="L56" s="62" t="inlineStr">
        <is>
          <t>排放量 × 碳的社会成本</t>
        </is>
      </c>
      <c r="M56" s="62" t="inlineStr">
        <is>
          <t>每次发货的费用</t>
        </is>
      </c>
      <c r="N56" s="62" t="inlineStr">
        <is>
          <t>GLEC框架，IFVI SCC $0.236</t>
        </is>
      </c>
      <c r="O56" s="20" t="n"/>
      <c r="P56" s="20" t="n"/>
      <c r="Q56" s="20" t="n"/>
      <c r="R56" s="20" t="n"/>
      <c r="S56" s="20" t="n"/>
      <c r="T56" s="20" t="n"/>
      <c r="U56" s="20" t="n"/>
      <c r="V56" s="20" t="n"/>
      <c r="W56" s="20" t="n"/>
      <c r="X56" s="20" t="n"/>
      <c r="Y56" s="20" t="n"/>
      <c r="Z56" s="20" t="n"/>
      <c r="AA56" s="20" t="n"/>
      <c r="AB56" s="20" t="n"/>
      <c r="AC56" s="20" t="n"/>
      <c r="AD56" s="20" t="n"/>
      <c r="AE56" s="20" t="n"/>
      <c r="AF56" s="20" t="n"/>
      <c r="AG56" s="20" t="n"/>
    </row>
    <row r="57" ht="15" customHeight="1" s="74">
      <c r="A57" s="73" t="inlineStr">
        <is>
          <t>每年客户数量</t>
        </is>
      </c>
      <c r="B57" s="20" t="n">
        <v>1600</v>
      </c>
      <c r="C57" s="20" t="inlineStr">
        <is>
          <t>per year</t>
        </is>
      </c>
      <c r="D57" s="20" t="n"/>
      <c r="E57" s="20" t="n"/>
      <c r="F57" s="20" t="n"/>
      <c r="G57" s="62" t="inlineStr">
        <is>
          <t>对小型企业的支持</t>
        </is>
      </c>
      <c r="H57" s="62" t="inlineStr">
        <is>
          <t>独立零售商</t>
        </is>
      </c>
      <c r="I57" s="62" t="inlineStr">
        <is>
          <t>Financial</t>
        </is>
      </c>
      <c r="J57" s="62" t="inlineStr">
        <is>
          <t>Positive</t>
        </is>
      </c>
      <c r="K57" s="62" t="inlineStr">
        <is>
          <t>每个零售商可获得10,000美元的资本获取福利</t>
        </is>
      </c>
      <c r="L57" s="62" t="inlineStr">
        <is>
          <t>资本避免 × 零售商数量</t>
        </is>
      </c>
      <c r="M57" s="62" t="inlineStr">
        <is>
          <t>每个零售商每年的美元金额</t>
        </is>
      </c>
      <c r="N57" s="62" t="inlineStr">
        <is>
          <t>零售创业成本研究（商业咨询机构）</t>
        </is>
      </c>
      <c r="O57" s="20" t="n"/>
      <c r="P57" s="20" t="n"/>
      <c r="Q57" s="20" t="n"/>
      <c r="R57" s="20" t="n"/>
      <c r="S57" s="20" t="n"/>
      <c r="T57" s="20" t="n"/>
      <c r="U57" s="20" t="n"/>
      <c r="V57" s="20" t="n"/>
      <c r="W57" s="20" t="n"/>
      <c r="X57" s="20" t="n"/>
      <c r="Y57" s="20" t="n"/>
      <c r="Z57" s="20" t="n"/>
      <c r="AA57" s="20" t="n"/>
      <c r="AB57" s="20" t="n"/>
      <c r="AC57" s="20" t="n"/>
      <c r="AD57" s="20" t="n"/>
      <c r="AE57" s="20" t="n"/>
      <c r="AF57" s="20" t="n"/>
      <c r="AG57" s="20" t="n"/>
    </row>
    <row r="58" ht="15" customHeight="1" s="74">
      <c r="A58" s="73" t="n"/>
      <c r="B58" s="20" t="n"/>
      <c r="C58" s="20" t="n"/>
      <c r="D58" s="20" t="n"/>
      <c r="E58" s="20" t="n"/>
      <c r="F58" s="20" t="n"/>
      <c r="G58" s="62" t="inlineStr">
        <is>
          <t>基于客户的机制（例如，种类、定价）</t>
        </is>
      </c>
      <c r="H58" s="62" t="inlineStr">
        <is>
          <t>Consumers</t>
        </is>
      </c>
      <c r="I58" s="62" t="inlineStr">
        <is>
          <t>金融/社会</t>
        </is>
      </c>
      <c r="J58" s="62" t="inlineStr">
        <is>
          <t>Both</t>
        </is>
      </c>
      <c r="K58" s="62" t="inlineStr">
        <is>
          <t>估计有1,600名客户（基于$400,000收入 ÷ $250支出）</t>
        </is>
      </c>
      <c r="L58" s="62" t="inlineStr">
        <is>
          <t>收入 ÷ 平均客户消费</t>
        </is>
      </c>
      <c r="M58" s="62" t="inlineStr">
        <is>
          <t>客户/年</t>
        </is>
      </c>
      <c r="N58" s="62" t="inlineStr">
        <is>
          <t>基于早期价格影响计算的假设</t>
        </is>
      </c>
      <c r="O58" s="20" t="n"/>
      <c r="P58" s="20" t="n"/>
      <c r="Q58" s="20" t="n"/>
      <c r="R58" s="20" t="n"/>
      <c r="S58" s="20" t="n"/>
      <c r="T58" s="20" t="n"/>
      <c r="U58" s="20" t="n"/>
      <c r="V58" s="20" t="n"/>
      <c r="W58" s="20" t="n"/>
      <c r="X58" s="20" t="n"/>
      <c r="Y58" s="20" t="n"/>
      <c r="Z58" s="20" t="n"/>
      <c r="AA58" s="20" t="n"/>
      <c r="AB58" s="20" t="n"/>
      <c r="AC58" s="20" t="n"/>
      <c r="AD58" s="20" t="n"/>
      <c r="AE58" s="20" t="n"/>
      <c r="AF58" s="20" t="n"/>
      <c r="AG58" s="20" t="n"/>
    </row>
    <row r="59" ht="13" customHeight="1" s="74">
      <c r="A59" s="73"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c r="AD59" s="20" t="n"/>
      <c r="AE59" s="20" t="n"/>
      <c r="AF59" s="20" t="n"/>
      <c r="AG59" s="20" t="n"/>
    </row>
    <row r="60" ht="13" customHeight="1" s="74">
      <c r="A60" s="43" t="inlineStr">
        <is>
          <t>SECTION IV</t>
        </is>
      </c>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c r="AC60" s="43" t="n"/>
      <c r="AD60" s="43" t="n"/>
      <c r="AE60" s="43" t="n"/>
      <c r="AF60" s="43" t="n"/>
      <c r="AG60" s="43" t="n"/>
    </row>
    <row r="61" ht="13" customHeight="1" s="74">
      <c r="A61" s="44" t="inlineStr">
        <is>
          <t>Total</t>
        </is>
      </c>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c r="AA61" s="45" t="n"/>
      <c r="AB61" s="45" t="n"/>
      <c r="AC61" s="45" t="n"/>
      <c r="AD61" s="45" t="n"/>
      <c r="AE61" s="45" t="n"/>
      <c r="AF61" s="45" t="n"/>
      <c r="AG61" s="45" t="n"/>
    </row>
    <row r="62" ht="13" customHeight="1" s="74">
      <c r="A62" s="46" t="inlineStr">
        <is>
          <t>利益相关者</t>
        </is>
      </c>
      <c r="B62" s="46" t="inlineStr">
        <is>
          <t>Mechanism</t>
        </is>
      </c>
      <c r="C62" s="46" t="inlineStr">
        <is>
          <t>Total</t>
        </is>
      </c>
      <c r="D62" s="47" t="inlineStr">
        <is>
          <t>每1美元的收入</t>
        </is>
      </c>
      <c r="E62" s="46" t="n"/>
      <c r="F62" s="48"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c r="AA62" s="46" t="n"/>
      <c r="AB62" s="46" t="n"/>
      <c r="AC62" s="46" t="n"/>
      <c r="AD62" s="46" t="n"/>
      <c r="AE62" s="46" t="n"/>
      <c r="AF62" s="46" t="n"/>
      <c r="AG62" s="46" t="n"/>
    </row>
    <row r="63" ht="13" customHeight="1" s="74">
      <c r="A63" s="63" t="inlineStr">
        <is>
          <t>独立零售商</t>
        </is>
      </c>
      <c r="B63" s="64" t="inlineStr">
        <is>
          <t>访问独特品牌</t>
        </is>
      </c>
      <c r="C63" s="63">
        <f>G21*B48</f>
        <v/>
      </c>
      <c r="D63" s="82">
        <f>C63/B47</f>
        <v/>
      </c>
      <c r="E63" s="18" t="n"/>
      <c r="F63" s="34"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row>
    <row r="64" ht="13" customHeight="1" s="74">
      <c r="A64" s="63" t="inlineStr">
        <is>
          <t>独立零售商</t>
        </is>
      </c>
      <c r="B64" s="64" t="inlineStr">
        <is>
          <t>降低采购成本</t>
        </is>
      </c>
      <c r="C64" s="63">
        <f>G22*B48</f>
        <v/>
      </c>
      <c r="D64" s="82">
        <f>C64/B47</f>
        <v/>
      </c>
      <c r="E64" s="18" t="n"/>
      <c r="F64" s="34"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row>
    <row r="65" ht="13" customHeight="1" s="74">
      <c r="A65" s="63" t="inlineStr">
        <is>
          <t>独立零售商</t>
        </is>
      </c>
      <c r="B65" s="64" t="inlineStr">
        <is>
          <t>平台依赖性</t>
        </is>
      </c>
      <c r="C65" s="63">
        <f>G23*B48*-1</f>
        <v/>
      </c>
      <c r="D65" s="82">
        <f>C65/B47</f>
        <v/>
      </c>
      <c r="E65" s="18" t="n"/>
      <c r="F65" s="34"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row>
    <row r="66" ht="13" customHeight="1" s="74">
      <c r="A66" s="63" t="inlineStr">
        <is>
          <t>品牌与供应商</t>
        </is>
      </c>
      <c r="B66" s="64" t="inlineStr">
        <is>
          <t>增加市场准入</t>
        </is>
      </c>
      <c r="C66" s="83">
        <f>(B47/B49)*0.5</f>
        <v/>
      </c>
      <c r="D66" s="64">
        <f>C66/B47</f>
        <v/>
      </c>
      <c r="E66" s="18" t="n"/>
      <c r="F66" s="34"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row>
    <row r="67" ht="13" customHeight="1" s="74">
      <c r="A67" s="63" t="inlineStr">
        <is>
          <t>品牌与供应商</t>
        </is>
      </c>
      <c r="B67" s="64" t="inlineStr">
        <is>
          <t>降低营销负担</t>
        </is>
      </c>
      <c r="C67" s="63">
        <f>G25*B49</f>
        <v/>
      </c>
      <c r="D67" s="64">
        <f>C67/C63</f>
        <v/>
      </c>
      <c r="E67" s="18" t="n"/>
      <c r="F67" s="34"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row>
    <row r="68" ht="13" customHeight="1" s="74">
      <c r="A68" s="63" t="inlineStr">
        <is>
          <t>Consumers</t>
        </is>
      </c>
      <c r="B68" s="64" t="inlineStr">
        <is>
          <t>更丰富的产品种类</t>
        </is>
      </c>
      <c r="C68" s="63">
        <f>G26*B57</f>
        <v/>
      </c>
      <c r="D68" s="82">
        <f>C68/B47</f>
        <v/>
      </c>
      <c r="E68" s="18" t="n"/>
      <c r="F68" s="34"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row>
    <row r="69" ht="13" customHeight="1" s="74">
      <c r="A69" s="63" t="inlineStr">
        <is>
          <t>Consumers</t>
        </is>
      </c>
      <c r="B69" s="64" t="inlineStr">
        <is>
          <t>潜在的价格上涨</t>
        </is>
      </c>
      <c r="C69" s="63">
        <f>G27*B57*-1</f>
        <v/>
      </c>
      <c r="D69" s="64">
        <f>C69/C63</f>
        <v/>
      </c>
      <c r="E69" s="18" t="n"/>
      <c r="F69" s="34"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row>
    <row r="70" ht="13" customHeight="1" s="74">
      <c r="A70" s="63" t="inlineStr">
        <is>
          <t>物流与运输服务提供商</t>
        </is>
      </c>
      <c r="B70" s="64" t="inlineStr">
        <is>
          <t>增加的运输量</t>
        </is>
      </c>
      <c r="C70" s="63" t="n">
        <v>8000</v>
      </c>
      <c r="D70" s="82">
        <f>C70/B47</f>
        <v/>
      </c>
      <c r="E70" s="18" t="n"/>
      <c r="F70" s="34"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row>
    <row r="71" ht="13" customHeight="1" s="74">
      <c r="A71" s="63" t="inlineStr">
        <is>
          <t>环境</t>
        </is>
      </c>
      <c r="B71" s="64" t="inlineStr">
        <is>
          <t>环境影响</t>
        </is>
      </c>
      <c r="C71" s="63">
        <f>G29*B51</f>
        <v/>
      </c>
      <c r="D71" s="64">
        <f>C71/C63</f>
        <v/>
      </c>
      <c r="E71" s="18" t="n"/>
      <c r="F71" s="34"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row>
    <row r="72" ht="13" customHeight="1" s="74">
      <c r="A72" s="63" t="inlineStr">
        <is>
          <t>环境</t>
        </is>
      </c>
      <c r="B72" s="64" t="inlineStr">
        <is>
          <t>可持续产品选项</t>
        </is>
      </c>
      <c r="C72" s="63">
        <f>G30*B56</f>
        <v/>
      </c>
      <c r="D72" s="82">
        <f>C72/B47</f>
        <v/>
      </c>
      <c r="E72" s="18" t="n"/>
      <c r="F72" s="34"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row>
    <row r="73" ht="13" customHeight="1" s="74">
      <c r="A73" s="63" t="inlineStr">
        <is>
          <t>环境与社会</t>
        </is>
      </c>
      <c r="B73" s="64" t="inlineStr">
        <is>
          <t>包装废弃物</t>
        </is>
      </c>
      <c r="C73" s="63">
        <f>G31*B56*-1</f>
        <v/>
      </c>
      <c r="D73" s="82">
        <f>C73/B47</f>
        <v/>
      </c>
      <c r="E73" s="18" t="n"/>
      <c r="F73" s="34"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row>
    <row r="74" ht="13" customHeight="1" s="74">
      <c r="A74" s="63" t="inlineStr">
        <is>
          <t>Society</t>
        </is>
      </c>
      <c r="B74" s="64" t="inlineStr">
        <is>
          <t>Sparkinity使创作者和早期品牌（例如艺术家、学生、小型企业家）能够在无需前期资本或物流基础设施的情况下，接触到广泛的客户群体——降低了市场准入和商业成立的障碍。</t>
        </is>
      </c>
      <c r="C74" s="63">
        <f>G32*(B49+B48)</f>
        <v/>
      </c>
      <c r="D74" s="82">
        <f>C74/B47</f>
        <v/>
      </c>
      <c r="E74" s="18" t="n"/>
      <c r="F74" s="34"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row>
    <row r="75" ht="13" customHeight="1" s="74">
      <c r="A75" s="18" t="n"/>
      <c r="B75" s="18" t="n"/>
      <c r="C75" s="18" t="n"/>
      <c r="D75" s="33" t="n"/>
      <c r="E75" s="18" t="n"/>
      <c r="F75" s="34"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row>
    <row r="76" ht="13" customHeight="1" s="74">
      <c r="A76" s="71" t="inlineStr">
        <is>
          <t>Total:</t>
        </is>
      </c>
      <c r="B76" s="77" t="n"/>
      <c r="C76" s="49" t="n"/>
      <c r="D76" s="50">
        <f>SUM(D63:D74)</f>
        <v/>
      </c>
      <c r="E76" s="49" t="n"/>
      <c r="F76" s="51"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c r="AA76" s="49" t="n"/>
      <c r="AB76" s="49" t="n"/>
      <c r="AC76" s="49" t="n"/>
      <c r="AD76" s="49" t="n"/>
      <c r="AE76" s="49" t="n"/>
      <c r="AF76" s="49" t="n"/>
      <c r="AG76" s="49" t="n"/>
    </row>
    <row r="77" ht="13" customHeight="1" s="74">
      <c r="A77" s="73" t="inlineStr">
        <is>
          <t>总计，环境：</t>
        </is>
      </c>
      <c r="C77" s="18" t="n"/>
      <c r="D77" s="18">
        <f>SUM(D71:D73)</f>
        <v/>
      </c>
      <c r="E77" s="18" t="n"/>
      <c r="F77" s="34"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row>
    <row r="78" ht="13" customHeight="1" s="74">
      <c r="A78" s="75" t="inlineStr">
        <is>
          <t>总计，社交：</t>
        </is>
      </c>
      <c r="C78" s="2" t="n"/>
      <c r="D78" s="70">
        <f>SUM(D63:D70)+SUM(D73:D74)</f>
        <v/>
      </c>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ht="13" customHeight="1" s="74">
      <c r="A79" s="1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ht="13" customHeight="1" s="74">
      <c r="A80" s="52" t="inlineStr">
        <is>
          <t>假设</t>
        </is>
      </c>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c r="AA80" s="53" t="n"/>
      <c r="AB80" s="53" t="n"/>
      <c r="AC80" s="53" t="n"/>
      <c r="AD80" s="53" t="n"/>
      <c r="AE80" s="53" t="n"/>
      <c r="AF80" s="53" t="n"/>
      <c r="AG80" s="53" t="n"/>
    </row>
    <row r="81" ht="13" customHeight="1" s="74">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row>
    <row r="82" ht="13" customHeight="1" s="74">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row>
    <row r="83" ht="13" customHeight="1" s="74">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row>
    <row r="84" ht="13" customHeight="1" s="74">
      <c r="A84" s="18" t="n"/>
      <c r="B84" s="18" t="n"/>
      <c r="C84" s="25" t="n"/>
      <c r="D84" s="7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row>
    <row r="85" ht="13" customHeight="1" s="74">
      <c r="A85" s="18" t="n"/>
      <c r="B85" s="18" t="n"/>
      <c r="C85" s="25" t="n"/>
      <c r="D85" s="7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row>
    <row r="86" ht="13" customHeight="1" s="74">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row>
    <row r="87" ht="13" customHeight="1" s="74">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row>
    <row r="88" ht="13" customHeight="1" s="74">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row>
    <row r="89" ht="13" customHeight="1" s="74">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row>
    <row r="90" ht="13" customHeight="1" s="74">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row>
    <row r="91" ht="13" customHeight="1" s="74">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row>
    <row r="92" ht="13" customHeight="1" s="74">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row>
    <row r="93" ht="13" customHeight="1" s="74">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row>
    <row r="94" ht="13" customHeight="1" s="7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row>
    <row r="95" ht="13" customHeight="1" s="74">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row>
    <row r="96" ht="13" customHeight="1" s="74">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row>
    <row r="97" ht="13" customHeight="1" s="74">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row>
    <row r="98" ht="13" customHeight="1" s="74">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row>
    <row r="99" ht="13" customHeight="1" s="74">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row>
    <row r="100" ht="13" customHeight="1" s="74">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row>
    <row r="101" ht="13" customHeight="1" s="74">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row>
    <row r="102" ht="13" customHeight="1" s="74">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row>
    <row r="103" ht="13" customHeight="1" s="74">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row>
    <row r="104" ht="13" customHeight="1" s="7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row>
    <row r="105" ht="13" customHeight="1" s="74">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row>
    <row r="106" ht="13" customHeight="1" s="74">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row>
    <row r="107" ht="13" customHeight="1" s="74">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row>
    <row r="108" ht="13" customHeight="1" s="74">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row>
    <row r="109" ht="13" customHeight="1" s="74">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row>
    <row r="110" ht="13" customHeight="1" s="74">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row>
    <row r="111" ht="13" customHeight="1" s="74">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row>
    <row r="112" ht="13" customHeight="1" s="74">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row>
    <row r="113" ht="13" customHeight="1" s="74">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row>
    <row r="114" ht="13" customHeight="1" s="7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row>
    <row r="115" ht="13" customHeight="1" s="74">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row>
    <row r="116" ht="13" customHeight="1" s="74">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row>
    <row r="117" ht="13" customHeight="1" s="74">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row>
    <row r="118" ht="13" customHeight="1" s="74">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row>
    <row r="119" ht="13" customHeight="1" s="74">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row>
    <row r="120" ht="13" customHeight="1" s="74">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row>
    <row r="121" ht="13" customHeight="1" s="74">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row>
    <row r="122" ht="13" customHeight="1" s="74">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row>
    <row r="123" ht="13" customHeight="1" s="74">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row>
    <row r="124" ht="13" customHeight="1" s="7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row>
    <row r="125" ht="13" customHeight="1" s="74">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row>
    <row r="126" ht="13" customHeight="1" s="74">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row>
    <row r="127" ht="13" customHeight="1" s="74">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row>
    <row r="128" ht="13" customHeight="1" s="74">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row>
    <row r="129" ht="13" customHeight="1" s="74">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row>
    <row r="130" ht="13" customHeight="1" s="74">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row>
    <row r="131" ht="13" customHeight="1" s="74">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row>
    <row r="132" ht="13" customHeight="1" s="74">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row>
    <row r="133" ht="13" customHeight="1" s="74">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row>
    <row r="134" ht="13" customHeight="1" s="7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row>
    <row r="135" ht="13" customHeight="1" s="74">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row>
    <row r="136" ht="13" customHeight="1" s="74">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row>
    <row r="137" ht="13" customHeight="1" s="74">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row>
    <row r="138" ht="13" customHeight="1" s="74">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row>
    <row r="139" ht="13" customHeight="1" s="74">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row>
    <row r="140" ht="13" customHeight="1" s="74">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row>
    <row r="141" ht="13" customHeight="1" s="74">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row>
    <row r="142" ht="13" customHeight="1" s="74">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row>
    <row r="143" ht="13" customHeight="1" s="74">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row>
    <row r="144" ht="13" customHeight="1" s="7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row>
    <row r="145" ht="13" customHeight="1" s="74">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row>
    <row r="146" ht="13" customHeight="1" s="74">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row>
    <row r="147" ht="13" customHeight="1" s="74">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row>
    <row r="148" ht="13" customHeight="1" s="74">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row>
    <row r="149" ht="13" customHeight="1" s="74">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row>
    <row r="150" ht="13" customHeight="1" s="74">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row>
    <row r="151" ht="13" customHeight="1" s="74">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row>
    <row r="152" ht="13" customHeight="1" s="74">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row>
    <row r="153" ht="13" customHeight="1" s="74">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row>
    <row r="154" ht="13" customHeight="1" s="7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row>
    <row r="155" ht="13" customHeight="1" s="74">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row>
    <row r="156" ht="13" customHeight="1" s="74">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row>
    <row r="157" ht="13" customHeight="1" s="74">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row>
    <row r="158" ht="13" customHeight="1" s="74">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row>
    <row r="159" ht="13" customHeight="1" s="74">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row>
    <row r="160" ht="13" customHeight="1" s="74">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row>
    <row r="161" ht="13" customHeight="1" s="74">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row>
    <row r="162" ht="13" customHeight="1" s="74">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row>
    <row r="163" ht="13" customHeight="1" s="74">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row>
    <row r="164" ht="13" customHeight="1" s="7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row>
    <row r="165" ht="13" customHeight="1" s="74">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row>
    <row r="166" ht="13" customHeight="1" s="74">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row>
    <row r="167" ht="13" customHeight="1" s="74">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row>
    <row r="168" ht="13" customHeight="1" s="74">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row>
    <row r="169" ht="13" customHeight="1" s="74">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row>
    <row r="170" ht="13" customHeight="1" s="74">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row>
    <row r="171" ht="13" customHeight="1" s="74">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row>
    <row r="172" ht="13" customHeight="1" s="74">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row>
    <row r="173" ht="13" customHeight="1" s="74">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row>
    <row r="174" ht="13" customHeight="1" s="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row>
    <row r="175" ht="13" customHeight="1" s="74">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row>
    <row r="176" ht="13" customHeight="1" s="74">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row>
    <row r="177" ht="13" customHeight="1" s="74">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row>
    <row r="178" ht="13" customHeight="1" s="74">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row>
    <row r="179" ht="13" customHeight="1" s="74">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row>
    <row r="180" ht="13" customHeight="1" s="74">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row>
    <row r="181" ht="13" customHeight="1" s="74">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row>
    <row r="182" ht="13" customHeight="1" s="74">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row>
    <row r="183" ht="13" customHeight="1" s="74">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row>
    <row r="184" ht="13" customHeight="1" s="7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row>
    <row r="185" ht="13" customHeight="1" s="74">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row>
    <row r="186" ht="13" customHeight="1" s="74">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row>
    <row r="187" ht="13" customHeight="1" s="74">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row>
    <row r="188" ht="13" customHeight="1" s="74">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row>
    <row r="189" ht="13" customHeight="1" s="74">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row>
    <row r="190" ht="13" customHeight="1" s="74">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row>
    <row r="191" ht="13" customHeight="1" s="74">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row>
    <row r="192" ht="13" customHeight="1" s="74">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row>
    <row r="193" ht="13" customHeight="1" s="74">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row>
    <row r="194" ht="13" customHeight="1" s="7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row>
    <row r="195" ht="13" customHeight="1" s="74">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row>
    <row r="196" ht="13" customHeight="1" s="74">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row>
    <row r="197" ht="13" customHeight="1" s="74">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row>
    <row r="198" ht="13" customHeight="1" s="74">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row>
    <row r="199" ht="13" customHeight="1" s="74">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row>
    <row r="200" ht="13" customHeight="1" s="74">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row>
    <row r="201" ht="13" customHeight="1" s="74">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row>
    <row r="202" ht="13" customHeight="1" s="74">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row>
    <row r="203" ht="13" customHeight="1" s="74">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row>
    <row r="204" ht="13" customHeight="1" s="7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row>
    <row r="205" ht="13" customHeight="1" s="74">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row>
    <row r="206" ht="13" customHeight="1" s="74">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row>
    <row r="207" ht="13" customHeight="1" s="74">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row>
    <row r="208" ht="13" customHeight="1" s="74">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row>
    <row r="209" ht="13" customHeight="1" s="74">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row>
    <row r="210" ht="13" customHeight="1" s="74">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row>
    <row r="211" ht="13" customHeight="1" s="74">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row>
    <row r="212" ht="13" customHeight="1" s="74">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row>
    <row r="213" ht="13" customHeight="1" s="74">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row>
    <row r="214" ht="13" customHeight="1" s="7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row>
    <row r="215" ht="13" customHeight="1" s="74">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row>
    <row r="216" ht="13" customHeight="1" s="74">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row>
    <row r="217" ht="13" customHeight="1" s="74">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row>
    <row r="218" ht="13" customHeight="1" s="74">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row>
    <row r="219" ht="13" customHeight="1" s="74">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row>
    <row r="220" ht="13" customHeight="1" s="74">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row>
    <row r="221" ht="13" customHeight="1" s="74">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row>
    <row r="222" ht="13" customHeight="1" s="74">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row>
    <row r="223" ht="13" customHeight="1" s="74">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row>
    <row r="224" ht="13" customHeight="1" s="7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row>
    <row r="225" ht="13" customHeight="1" s="74">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row>
    <row r="226" ht="13" customHeight="1" s="74">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row>
    <row r="227" ht="13" customHeight="1" s="74">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row>
    <row r="228" ht="13" customHeight="1" s="74">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row>
    <row r="229" ht="13" customHeight="1" s="74">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row>
    <row r="230" ht="13" customHeight="1" s="74">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row>
    <row r="231" ht="13" customHeight="1" s="74">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row>
    <row r="232" ht="13" customHeight="1" s="74">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row>
    <row r="233" ht="13" customHeight="1" s="74">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row>
    <row r="234" ht="13" customHeight="1" s="7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row>
    <row r="235" ht="13" customHeight="1" s="74">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row>
    <row r="236" ht="13" customHeight="1" s="74">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row>
    <row r="237" ht="13" customHeight="1" s="74">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row>
    <row r="238" ht="13" customHeight="1" s="74">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row>
    <row r="239" ht="13" customHeight="1" s="74">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row>
    <row r="240" ht="13" customHeight="1" s="74">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row>
    <row r="241" ht="13" customHeight="1" s="74">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row>
    <row r="242" ht="13" customHeight="1" s="74">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row>
    <row r="243" ht="13" customHeight="1" s="74">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row>
    <row r="244" ht="13" customHeight="1" s="7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row>
    <row r="245" ht="13" customHeight="1" s="74">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row>
    <row r="246" ht="13" customHeight="1" s="74">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row>
    <row r="247" ht="13" customHeight="1" s="74">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row>
    <row r="248" ht="13" customHeight="1" s="74">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row>
    <row r="249" ht="13" customHeight="1" s="74">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row>
    <row r="250" ht="13" customHeight="1" s="74">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row>
    <row r="251" ht="13" customHeight="1" s="74">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row>
    <row r="252" ht="13" customHeight="1" s="74">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row>
    <row r="253" ht="13" customHeight="1" s="74">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row>
    <row r="254" ht="13" customHeight="1" s="7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row>
    <row r="255" ht="13" customHeight="1" s="74">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row>
    <row r="256" ht="13" customHeight="1" s="74">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row>
    <row r="257" ht="13" customHeight="1" s="74">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row>
    <row r="258" ht="13" customHeight="1" s="74">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row>
    <row r="259" ht="13" customHeight="1" s="74">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row>
    <row r="260" ht="13" customHeight="1" s="74">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row>
    <row r="261" ht="13" customHeight="1" s="74">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row>
    <row r="262" ht="13" customHeight="1" s="74">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row>
    <row r="263" ht="13" customHeight="1" s="74">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row>
    <row r="264" ht="13" customHeight="1" s="7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row>
    <row r="265" ht="13" customHeight="1" s="74">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row>
    <row r="266" ht="13" customHeight="1" s="74">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row>
    <row r="267" ht="13" customHeight="1" s="74">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row>
    <row r="268" ht="13" customHeight="1" s="74">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row>
    <row r="269" ht="13" customHeight="1" s="74">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row>
    <row r="270" ht="13" customHeight="1" s="74">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row>
    <row r="271" ht="13" customHeight="1" s="74">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row>
    <row r="272" ht="13" customHeight="1" s="74">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row>
    <row r="273" ht="13" customHeight="1" s="74">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row>
    <row r="274" ht="13" customHeight="1" s="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row>
    <row r="275" ht="13" customHeight="1" s="74">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row>
    <row r="276" ht="13" customHeight="1" s="74">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row>
    <row r="277" ht="13" customHeight="1" s="74">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row>
    <row r="278" ht="13" customHeight="1" s="74">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row>
    <row r="279" ht="13" customHeight="1" s="74">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row>
    <row r="280" ht="13" customHeight="1" s="74">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row>
    <row r="281" ht="13" customHeight="1" s="74">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row>
    <row r="282" ht="13" customHeight="1" s="74">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row>
    <row r="283" ht="13" customHeight="1" s="74">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row>
    <row r="284" ht="13" customHeight="1" s="7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row>
    <row r="285" ht="13" customHeight="1" s="74">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row>
    <row r="286" ht="13" customHeight="1" s="74">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row>
    <row r="287" ht="13" customHeight="1" s="74">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row>
    <row r="288" ht="13" customHeight="1" s="74">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row>
    <row r="289" ht="13" customHeight="1" s="74">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row>
    <row r="290" ht="13" customHeight="1" s="74">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row>
    <row r="291" ht="13" customHeight="1" s="74">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row>
    <row r="292" ht="13" customHeight="1" s="74">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row>
    <row r="293" ht="13" customHeight="1" s="74">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row>
    <row r="294" ht="13" customHeight="1" s="7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row>
    <row r="295" ht="13" customHeight="1" s="74">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row>
    <row r="296" ht="13" customHeight="1" s="74">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row>
    <row r="297" ht="13" customHeight="1" s="74">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row>
    <row r="298" ht="13" customHeight="1" s="74">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row>
    <row r="299" ht="13" customHeight="1" s="74">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row>
    <row r="300" ht="13" customHeight="1" s="74">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row>
    <row r="301" ht="13" customHeight="1" s="74">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row>
    <row r="302" ht="13" customHeight="1" s="74">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row>
    <row r="303" ht="13" customHeight="1" s="74">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row>
    <row r="304" ht="13" customHeight="1" s="7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row>
    <row r="305" ht="13" customHeight="1" s="74">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row>
    <row r="306" ht="13" customHeight="1" s="74">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row>
    <row r="307" ht="13" customHeight="1" s="74">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row>
    <row r="308" ht="13" customHeight="1" s="74">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row>
    <row r="309" ht="13" customHeight="1" s="74">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row>
    <row r="310" ht="13" customHeight="1" s="74">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row>
    <row r="311" ht="13" customHeight="1" s="74">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row>
    <row r="312" ht="13" customHeight="1" s="74">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row>
    <row r="313" ht="13" customHeight="1" s="74">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row>
    <row r="314" ht="13" customHeight="1" s="7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row>
    <row r="315" ht="13" customHeight="1" s="74">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row>
    <row r="316" ht="13" customHeight="1" s="74">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row>
    <row r="317" ht="13" customHeight="1" s="74">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row>
    <row r="318" ht="13" customHeight="1" s="74">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row>
    <row r="319" ht="13" customHeight="1" s="74">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row>
    <row r="320" ht="13" customHeight="1" s="74">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row>
    <row r="321" ht="13" customHeight="1" s="74">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row>
    <row r="322" ht="13" customHeight="1" s="74">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row>
    <row r="323" ht="13" customHeight="1" s="74">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row>
    <row r="324" ht="13" customHeight="1" s="7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row>
    <row r="325" ht="13" customHeight="1" s="74">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row>
    <row r="326" ht="13" customHeight="1" s="74">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row>
    <row r="327" ht="13" customHeight="1" s="74">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row>
    <row r="328" ht="13" customHeight="1" s="74">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row>
    <row r="329" ht="13" customHeight="1" s="74">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row>
    <row r="330" ht="13" customHeight="1" s="74">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row>
    <row r="331" ht="13" customHeight="1" s="74">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row>
    <row r="332" ht="13" customHeight="1" s="74">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row>
    <row r="333" ht="13" customHeight="1" s="74">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row>
    <row r="334" ht="13" customHeight="1" s="7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row>
    <row r="335" ht="13" customHeight="1" s="74">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row>
    <row r="336" ht="13" customHeight="1" s="74">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row>
    <row r="337" ht="13" customHeight="1" s="74">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row>
    <row r="338" ht="13" customHeight="1" s="74">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row>
    <row r="339" ht="13" customHeight="1" s="74">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row>
    <row r="340" ht="13" customHeight="1" s="74">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row>
    <row r="341" ht="13" customHeight="1" s="74">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row>
    <row r="342" ht="13" customHeight="1" s="74">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row>
    <row r="343" ht="13" customHeight="1" s="74">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row>
    <row r="344" ht="13" customHeight="1" s="7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row>
    <row r="345" ht="13" customHeight="1" s="74">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row>
    <row r="346" ht="13" customHeight="1" s="74">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row>
    <row r="347" ht="13" customHeight="1" s="74">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row>
    <row r="348" ht="13" customHeight="1" s="74">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row>
    <row r="349" ht="13" customHeight="1" s="74">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row>
    <row r="350" ht="13" customHeight="1" s="74">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row>
    <row r="351" ht="13" customHeight="1" s="74">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row>
    <row r="352" ht="13" customHeight="1" s="74">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row>
    <row r="353" ht="13" customHeight="1" s="74">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row>
    <row r="354" ht="13" customHeight="1" s="7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row>
    <row r="355" ht="13" customHeight="1" s="74">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row>
    <row r="356" ht="13" customHeight="1" s="74">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row>
    <row r="357" ht="13" customHeight="1" s="74">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row>
    <row r="358" ht="13" customHeight="1" s="74">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row>
    <row r="359" ht="13" customHeight="1" s="74">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row>
    <row r="360" ht="13" customHeight="1" s="74">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row>
    <row r="361" ht="13" customHeight="1" s="74">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row>
    <row r="362" ht="13" customHeight="1" s="74">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row>
    <row r="363" ht="13" customHeight="1" s="74">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row>
    <row r="364" ht="13" customHeight="1" s="7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row>
    <row r="365" ht="13" customHeight="1" s="74">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row>
    <row r="366" ht="13" customHeight="1" s="74">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row>
    <row r="367" ht="13" customHeight="1" s="74">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row>
    <row r="368" ht="13" customHeight="1" s="74">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row>
    <row r="369" ht="13" customHeight="1" s="74">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row>
    <row r="370" ht="13" customHeight="1" s="74">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row>
    <row r="371" ht="13" customHeight="1" s="74">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row>
    <row r="372" ht="13" customHeight="1" s="74">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row>
    <row r="373" ht="13" customHeight="1" s="74">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row>
    <row r="374" ht="13" customHeight="1" s="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row>
    <row r="375" ht="13" customHeight="1" s="74">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row>
    <row r="376" ht="13" customHeight="1" s="74">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row>
    <row r="377" ht="13" customHeight="1" s="74">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row>
    <row r="378" ht="13" customHeight="1" s="74">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row>
    <row r="379" ht="13" customHeight="1" s="74">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row>
    <row r="380" ht="13" customHeight="1" s="74">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row>
    <row r="381" ht="13" customHeight="1" s="74">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row>
    <row r="382" ht="13" customHeight="1" s="74">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row>
    <row r="383" ht="13" customHeight="1" s="74">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row>
    <row r="384" ht="13" customHeight="1" s="7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row>
    <row r="385" ht="13" customHeight="1" s="74">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row>
    <row r="386" ht="13" customHeight="1" s="74">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row>
    <row r="387" ht="13" customHeight="1" s="74">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row>
    <row r="388" ht="13" customHeight="1" s="74">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row>
    <row r="389" ht="13" customHeight="1" s="74">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row>
    <row r="390" ht="13" customHeight="1" s="74">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row>
    <row r="391" ht="13" customHeight="1" s="74">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row>
    <row r="392" ht="13" customHeight="1" s="74">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row>
    <row r="393" ht="13" customHeight="1" s="74">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row>
    <row r="394" ht="13" customHeight="1" s="7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row>
    <row r="395" ht="13" customHeight="1" s="74">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row>
    <row r="396" ht="13" customHeight="1" s="74">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row>
    <row r="397" ht="13" customHeight="1" s="74">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row>
    <row r="398" ht="13" customHeight="1" s="74">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row>
    <row r="399" ht="13" customHeight="1" s="74">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row>
    <row r="400" ht="13" customHeight="1" s="74">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row>
    <row r="401" ht="13" customHeight="1" s="74">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row>
    <row r="402" ht="13" customHeight="1" s="74">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row>
    <row r="403" ht="13" customHeight="1" s="74">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row>
    <row r="404" ht="13" customHeight="1" s="7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row>
    <row r="405" ht="13" customHeight="1" s="74">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row>
    <row r="406" ht="13" customHeight="1" s="74">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row>
    <row r="407" ht="13" customHeight="1" s="74">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row>
    <row r="408" ht="13" customHeight="1" s="74">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row>
    <row r="409" ht="13" customHeight="1" s="74">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row>
    <row r="410" ht="13" customHeight="1" s="74">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row>
    <row r="411" ht="13" customHeight="1" s="74">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row>
    <row r="412" ht="13" customHeight="1" s="74">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row>
    <row r="413" ht="13" customHeight="1" s="74">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row>
    <row r="414" ht="13" customHeight="1" s="7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row>
    <row r="415" ht="13" customHeight="1" s="74">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row>
    <row r="416" ht="13" customHeight="1" s="74">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row>
    <row r="417" ht="13" customHeight="1" s="74">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row>
    <row r="418" ht="13" customHeight="1" s="74">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row>
    <row r="419" ht="13" customHeight="1" s="74">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row>
    <row r="420" ht="13" customHeight="1" s="74">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row>
    <row r="421" ht="13" customHeight="1" s="74">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row>
    <row r="422" ht="13" customHeight="1" s="74">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row>
    <row r="423" ht="13" customHeight="1" s="74">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row>
    <row r="424" ht="13" customHeight="1" s="7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row>
    <row r="425" ht="13" customHeight="1" s="74">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row>
    <row r="426" ht="13" customHeight="1" s="74">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row>
    <row r="427" ht="13" customHeight="1" s="74">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row>
    <row r="428" ht="13" customHeight="1" s="74">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row>
    <row r="429" ht="13" customHeight="1" s="74">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row>
    <row r="430" ht="13" customHeight="1" s="74">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row>
    <row r="431" ht="13" customHeight="1" s="74">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row>
    <row r="432" ht="13" customHeight="1" s="74">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row>
    <row r="433" ht="13" customHeight="1" s="74">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row>
    <row r="434" ht="13" customHeight="1" s="7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row>
    <row r="435" ht="13" customHeight="1" s="74">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row>
    <row r="436" ht="13" customHeight="1" s="74">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row>
    <row r="437" ht="13" customHeight="1" s="74">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row>
    <row r="438" ht="13" customHeight="1" s="74">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row>
    <row r="439" ht="13" customHeight="1" s="74">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row>
    <row r="440" ht="13" customHeight="1" s="74">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row>
    <row r="441" ht="13" customHeight="1" s="74">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row>
    <row r="442" ht="13" customHeight="1" s="74">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row>
    <row r="443" ht="13" customHeight="1" s="74">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row>
    <row r="444" ht="13" customHeight="1" s="7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row>
    <row r="445" ht="13" customHeight="1" s="74">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row>
    <row r="446" ht="13" customHeight="1" s="74">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row>
    <row r="447" ht="13" customHeight="1" s="74">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row>
    <row r="448" ht="13" customHeight="1" s="74">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row>
    <row r="449" ht="13" customHeight="1" s="74">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row>
    <row r="450" ht="13" customHeight="1" s="74">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row>
    <row r="451" ht="13" customHeight="1" s="74">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row>
    <row r="452" ht="13" customHeight="1" s="74">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row>
    <row r="453" ht="13" customHeight="1" s="74">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row>
    <row r="454" ht="13" customHeight="1" s="7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row>
    <row r="455" ht="13" customHeight="1" s="74">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row>
    <row r="456" ht="13" customHeight="1" s="74">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row>
    <row r="457" ht="13" customHeight="1" s="74">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row>
    <row r="458" ht="13" customHeight="1" s="74">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row>
    <row r="459" ht="13" customHeight="1" s="74">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row>
    <row r="460" ht="13" customHeight="1" s="74">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row>
    <row r="461" ht="13" customHeight="1" s="74">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row>
    <row r="462" ht="13" customHeight="1" s="74">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row>
    <row r="463" ht="13" customHeight="1" s="74">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row>
    <row r="464" ht="13" customHeight="1" s="7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row>
    <row r="465" ht="13" customHeight="1" s="74">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row>
    <row r="466" ht="13" customHeight="1" s="74">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row>
    <row r="467" ht="13" customHeight="1" s="74">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row>
    <row r="468" ht="13" customHeight="1" s="74">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row>
    <row r="469" ht="13" customHeight="1" s="74">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row>
    <row r="470" ht="13" customHeight="1" s="74">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row>
    <row r="471" ht="13" customHeight="1" s="74">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row>
    <row r="472" ht="13" customHeight="1" s="74">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row>
    <row r="473" ht="13" customHeight="1" s="74">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row>
    <row r="474" ht="13" customHeight="1" s="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row>
    <row r="475" ht="13" customHeight="1" s="74">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row>
    <row r="476" ht="13" customHeight="1" s="74">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row>
    <row r="477" ht="13" customHeight="1" s="74">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row>
    <row r="478" ht="13" customHeight="1" s="74">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row>
    <row r="479" ht="13" customHeight="1" s="74">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row>
    <row r="480" ht="13" customHeight="1" s="74">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row>
    <row r="481" ht="13" customHeight="1" s="74">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row>
    <row r="482" ht="13" customHeight="1" s="74">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row>
    <row r="483" ht="13" customHeight="1" s="74">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row>
    <row r="484" ht="13" customHeight="1" s="7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row>
    <row r="485" ht="13" customHeight="1" s="74">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row>
    <row r="486" ht="13" customHeight="1" s="74">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row>
    <row r="487" ht="13" customHeight="1" s="74">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row>
    <row r="488" ht="13" customHeight="1" s="74">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row>
    <row r="489" ht="13" customHeight="1" s="74">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row>
    <row r="490" ht="13" customHeight="1" s="74">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row>
    <row r="491" ht="13" customHeight="1" s="74">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row>
    <row r="492" ht="13" customHeight="1" s="74">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row>
    <row r="493" ht="13" customHeight="1" s="74">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row>
    <row r="494" ht="13" customHeight="1" s="7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row>
    <row r="495" ht="13" customHeight="1" s="74">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row>
    <row r="496" ht="13" customHeight="1" s="74">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row>
    <row r="497" ht="13" customHeight="1" s="74">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row>
    <row r="498" ht="13" customHeight="1" s="74">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row>
    <row r="499" ht="13" customHeight="1" s="74">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row>
    <row r="500" ht="13" customHeight="1" s="74">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row>
    <row r="501" ht="13" customHeight="1" s="74">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row>
    <row r="502" ht="13" customHeight="1" s="74">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row>
    <row r="503" ht="13" customHeight="1" s="74">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row>
    <row r="504" ht="13" customHeight="1" s="7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row>
    <row r="505" ht="13" customHeight="1" s="74">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row>
    <row r="506" ht="13" customHeight="1" s="74">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row>
    <row r="507" ht="13" customHeight="1" s="74">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row>
    <row r="508" ht="13" customHeight="1" s="74">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row>
    <row r="509" ht="13" customHeight="1" s="74">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row>
    <row r="510" ht="13" customHeight="1" s="74">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row>
    <row r="511" ht="13" customHeight="1" s="74">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row>
    <row r="512" ht="13" customHeight="1" s="74">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row>
    <row r="513" ht="13" customHeight="1" s="74">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row>
    <row r="514" ht="13" customHeight="1" s="7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row>
    <row r="515" ht="13" customHeight="1" s="74">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row>
    <row r="516" ht="13" customHeight="1" s="74">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row>
    <row r="517" ht="13" customHeight="1" s="74">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row>
    <row r="518" ht="13" customHeight="1" s="74">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row>
    <row r="519" ht="13" customHeight="1" s="74">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row>
    <row r="520" ht="13" customHeight="1" s="74">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row>
    <row r="521" ht="13" customHeight="1" s="74">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row>
    <row r="522" ht="13" customHeight="1" s="74">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row>
    <row r="523" ht="13" customHeight="1" s="74">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row>
    <row r="524" ht="13" customHeight="1" s="7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row>
    <row r="525" ht="13" customHeight="1" s="74">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row>
    <row r="526" ht="13" customHeight="1" s="74">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row>
    <row r="527" ht="13" customHeight="1" s="74">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row>
    <row r="528" ht="13" customHeight="1" s="74">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row>
    <row r="529" ht="13" customHeight="1" s="74">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row>
    <row r="530" ht="13" customHeight="1" s="74">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row>
    <row r="531" ht="13" customHeight="1" s="74">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row>
    <row r="532" ht="13" customHeight="1" s="74">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row>
    <row r="533" ht="13" customHeight="1" s="74">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row>
    <row r="534" ht="13" customHeight="1" s="7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row>
    <row r="535" ht="13" customHeight="1" s="74">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row>
    <row r="536" ht="13" customHeight="1" s="74">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row>
    <row r="537" ht="13" customHeight="1" s="74">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row>
    <row r="538" ht="13" customHeight="1" s="74">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row>
    <row r="539" ht="13" customHeight="1" s="74">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row>
    <row r="540" ht="13" customHeight="1" s="74">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row>
    <row r="541" ht="13" customHeight="1" s="74">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row>
    <row r="542" ht="13" customHeight="1" s="74">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row>
    <row r="543" ht="13" customHeight="1" s="74">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row>
    <row r="544" ht="13" customHeight="1" s="7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row>
    <row r="545" ht="13" customHeight="1" s="74">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row>
    <row r="546" ht="13" customHeight="1" s="74">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row>
    <row r="547" ht="13" customHeight="1" s="74">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row>
    <row r="548" ht="13" customHeight="1" s="74">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row>
    <row r="549" ht="13" customHeight="1" s="74">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row>
    <row r="550" ht="13" customHeight="1" s="74">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row>
    <row r="551" ht="13" customHeight="1" s="74">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row>
    <row r="552" ht="13" customHeight="1" s="74">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row>
    <row r="553" ht="13" customHeight="1" s="74">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row>
    <row r="554" ht="13" customHeight="1" s="7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row>
    <row r="555" ht="13" customHeight="1" s="74">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row>
    <row r="556" ht="13" customHeight="1" s="74">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row>
    <row r="557" ht="13" customHeight="1" s="74">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row>
    <row r="558" ht="13" customHeight="1" s="74">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row>
    <row r="559" ht="13" customHeight="1" s="74">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row>
    <row r="560" ht="13" customHeight="1" s="74">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row>
    <row r="561" ht="13" customHeight="1" s="74">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row>
    <row r="562" ht="13" customHeight="1" s="74">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row>
    <row r="563" ht="13" customHeight="1" s="74">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row>
    <row r="564" ht="13" customHeight="1" s="7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row>
    <row r="565" ht="13" customHeight="1" s="74">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row>
    <row r="566" ht="13" customHeight="1" s="74">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row>
    <row r="567" ht="13" customHeight="1" s="74">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row>
    <row r="568" ht="13" customHeight="1" s="74">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row>
    <row r="569" ht="13" customHeight="1" s="74">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row>
    <row r="570" ht="13" customHeight="1" s="74">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row>
    <row r="571" ht="13" customHeight="1" s="74">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row>
    <row r="572" ht="13" customHeight="1" s="74">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row>
    <row r="573" ht="13" customHeight="1" s="74">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row>
    <row r="574" ht="13" customHeight="1" s="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row>
    <row r="575" ht="13" customHeight="1" s="74">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row>
    <row r="576" ht="13" customHeight="1" s="74">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row>
    <row r="577" ht="13" customHeight="1" s="74">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row>
    <row r="578" ht="13" customHeight="1" s="74">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row>
    <row r="579" ht="13" customHeight="1" s="74">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row>
    <row r="580" ht="13" customHeight="1" s="74">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row>
    <row r="581" ht="13" customHeight="1" s="74">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row>
    <row r="582" ht="13" customHeight="1" s="74">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row>
    <row r="583" ht="13" customHeight="1" s="74">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row>
    <row r="584" ht="13" customHeight="1" s="7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row>
    <row r="585" ht="13" customHeight="1" s="74">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row>
    <row r="586" ht="13" customHeight="1" s="74">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row>
    <row r="587" ht="13" customHeight="1" s="74">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row>
    <row r="588" ht="13" customHeight="1" s="74">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row>
    <row r="589" ht="13" customHeight="1" s="74">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row>
    <row r="590" ht="13" customHeight="1" s="74">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row>
    <row r="591" ht="13" customHeight="1" s="74">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row>
    <row r="592" ht="13" customHeight="1" s="74">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row>
    <row r="593" ht="13" customHeight="1" s="74">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row>
    <row r="594" ht="13" customHeight="1" s="7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row>
    <row r="595" ht="13" customHeight="1" s="74">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row>
    <row r="596" ht="13" customHeight="1" s="74">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row>
    <row r="597" ht="13" customHeight="1" s="74">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row>
    <row r="598" ht="13" customHeight="1" s="74">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row>
    <row r="599" ht="13" customHeight="1" s="74">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row>
    <row r="600" ht="13" customHeight="1" s="74">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row>
    <row r="601" ht="13" customHeight="1" s="74">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row>
    <row r="602" ht="13" customHeight="1" s="74">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row>
    <row r="603" ht="13" customHeight="1" s="74">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row>
    <row r="604" ht="13" customHeight="1" s="7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row>
    <row r="605" ht="13" customHeight="1" s="74">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row>
    <row r="606" ht="13" customHeight="1" s="74">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row>
    <row r="607" ht="13" customHeight="1" s="74">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row>
    <row r="608" ht="13" customHeight="1" s="74">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row>
    <row r="609" ht="13" customHeight="1" s="74">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row>
    <row r="610" ht="13" customHeight="1" s="74">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row>
    <row r="611" ht="13" customHeight="1" s="74">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row>
    <row r="612" ht="13" customHeight="1" s="74">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row>
    <row r="613" ht="13" customHeight="1" s="74">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row>
    <row r="614" ht="13" customHeight="1" s="7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row>
    <row r="615" ht="13" customHeight="1" s="74">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row>
    <row r="616" ht="13" customHeight="1" s="74">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row>
    <row r="617" ht="13" customHeight="1" s="74">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row>
    <row r="618" ht="13" customHeight="1" s="74">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row>
    <row r="619" ht="13" customHeight="1" s="74">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row>
    <row r="620" ht="13" customHeight="1" s="74">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row>
    <row r="621" ht="13" customHeight="1" s="74">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row>
    <row r="622" ht="13" customHeight="1" s="74">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row>
    <row r="623" ht="13" customHeight="1" s="74">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row>
    <row r="624" ht="13" customHeight="1" s="7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row>
    <row r="625" ht="13" customHeight="1" s="74">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row>
    <row r="626" ht="13" customHeight="1" s="74">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row>
    <row r="627" ht="13" customHeight="1" s="74">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row>
    <row r="628" ht="13" customHeight="1" s="74">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row>
    <row r="629" ht="13" customHeight="1" s="74">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row>
    <row r="630" ht="13" customHeight="1" s="74">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row>
    <row r="631" ht="13" customHeight="1" s="74">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row>
    <row r="632" ht="13" customHeight="1" s="74">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row>
    <row r="633" ht="13" customHeight="1" s="74">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row>
    <row r="634" ht="13" customHeight="1" s="7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row>
    <row r="635" ht="13" customHeight="1" s="74">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row>
    <row r="636" ht="13" customHeight="1" s="74">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row>
    <row r="637" ht="13" customHeight="1" s="74">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row>
    <row r="638" ht="13" customHeight="1" s="74">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row>
    <row r="639" ht="13" customHeight="1" s="74">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row>
    <row r="640" ht="13" customHeight="1" s="74">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row>
    <row r="641" ht="13" customHeight="1" s="74">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row>
    <row r="642" ht="13" customHeight="1" s="74">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row>
    <row r="643" ht="13" customHeight="1" s="74">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row>
    <row r="644" ht="13" customHeight="1" s="7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row>
    <row r="645" ht="13" customHeight="1" s="74">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row>
    <row r="646" ht="13" customHeight="1" s="74">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row>
    <row r="647" ht="13" customHeight="1" s="74">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row>
    <row r="648" ht="13" customHeight="1" s="74">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row>
    <row r="649" ht="13" customHeight="1" s="74">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row>
    <row r="650" ht="13" customHeight="1" s="74">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row>
    <row r="651" ht="13" customHeight="1" s="74">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row>
    <row r="652" ht="13" customHeight="1" s="74">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row>
    <row r="653" ht="13" customHeight="1" s="74">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row>
    <row r="654" ht="13" customHeight="1" s="7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row>
    <row r="655" ht="13" customHeight="1" s="74">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row>
    <row r="656" ht="13" customHeight="1" s="74">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row>
    <row r="657" ht="13" customHeight="1" s="74">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row>
    <row r="658" ht="13" customHeight="1" s="74">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row>
    <row r="659" ht="13" customHeight="1" s="74">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row>
    <row r="660" ht="13" customHeight="1" s="74">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row>
    <row r="661" ht="13" customHeight="1" s="74">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row>
    <row r="662" ht="13" customHeight="1" s="74">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row>
    <row r="663" ht="13" customHeight="1" s="74">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row>
    <row r="664" ht="13" customHeight="1" s="7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row>
    <row r="665" ht="13" customHeight="1" s="74">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row>
    <row r="666" ht="13" customHeight="1" s="74">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row>
    <row r="667" ht="13" customHeight="1" s="74">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row>
    <row r="668" ht="13" customHeight="1" s="74">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row>
    <row r="669" ht="13" customHeight="1" s="74">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row>
    <row r="670" ht="13" customHeight="1" s="74">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row>
    <row r="671" ht="13" customHeight="1" s="74">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row>
    <row r="672" ht="13" customHeight="1" s="74">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row>
    <row r="673" ht="13" customHeight="1" s="74">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row>
    <row r="674" ht="13" customHeight="1" s="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row>
    <row r="675" ht="13" customHeight="1" s="74">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row>
    <row r="676" ht="13" customHeight="1" s="74">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row>
    <row r="677" ht="13" customHeight="1" s="74">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row>
    <row r="678" ht="13" customHeight="1" s="74">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row>
    <row r="679" ht="13" customHeight="1" s="74">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row>
    <row r="680" ht="13" customHeight="1" s="74">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row>
    <row r="681" ht="13" customHeight="1" s="74">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row>
    <row r="682" ht="13" customHeight="1" s="74">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row>
    <row r="683" ht="13" customHeight="1" s="74">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row>
    <row r="684" ht="13" customHeight="1" s="7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row>
    <row r="685" ht="13" customHeight="1" s="74">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row>
    <row r="686" ht="13" customHeight="1" s="74">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row>
    <row r="687" ht="13" customHeight="1" s="74">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row>
    <row r="688" ht="13" customHeight="1" s="74">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row>
    <row r="689" ht="13" customHeight="1" s="74">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row>
    <row r="690" ht="13" customHeight="1" s="74">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row>
    <row r="691" ht="13" customHeight="1" s="74">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row>
    <row r="692" ht="13" customHeight="1" s="74">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row>
    <row r="693" ht="13" customHeight="1" s="74">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row>
    <row r="694" ht="13" customHeight="1" s="7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row>
    <row r="695" ht="13" customHeight="1" s="74">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row>
    <row r="696" ht="13" customHeight="1" s="74">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row>
    <row r="697" ht="13" customHeight="1" s="74">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row>
    <row r="698" ht="13" customHeight="1" s="74">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row>
    <row r="699" ht="13" customHeight="1" s="74">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row>
    <row r="700" ht="13" customHeight="1" s="74">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row>
    <row r="701" ht="13" customHeight="1" s="74">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row>
    <row r="702" ht="13" customHeight="1" s="74">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row>
    <row r="703" ht="13" customHeight="1" s="74">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row>
    <row r="704" ht="13" customHeight="1" s="7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row>
    <row r="705" ht="13" customHeight="1" s="74">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row>
    <row r="706" ht="13" customHeight="1" s="74">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row>
    <row r="707" ht="13" customHeight="1" s="74">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row>
    <row r="708" ht="13" customHeight="1" s="74">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row>
    <row r="709" ht="13" customHeight="1" s="74">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row>
    <row r="710" ht="13" customHeight="1" s="74">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row>
    <row r="711" ht="13" customHeight="1" s="74">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row>
    <row r="712" ht="13" customHeight="1" s="74">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row>
    <row r="713" ht="13" customHeight="1" s="74">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row>
    <row r="714" ht="13" customHeight="1" s="7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row>
    <row r="715" ht="13" customHeight="1" s="74">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row>
    <row r="716" ht="13" customHeight="1" s="74">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row>
    <row r="717" ht="13" customHeight="1" s="74">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row>
    <row r="718" ht="13" customHeight="1" s="74">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row>
    <row r="719" ht="13" customHeight="1" s="74">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row>
    <row r="720" ht="13" customHeight="1" s="74">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row>
    <row r="721" ht="13" customHeight="1" s="74">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row>
    <row r="722" ht="13" customHeight="1" s="74">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row>
    <row r="723" ht="13" customHeight="1" s="74">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row>
    <row r="724" ht="13" customHeight="1" s="7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row>
    <row r="725" ht="13" customHeight="1" s="74">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row>
    <row r="726" ht="13" customHeight="1" s="74">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row>
    <row r="727" ht="13" customHeight="1" s="74">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row>
    <row r="728" ht="13" customHeight="1" s="74">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row>
    <row r="729" ht="13" customHeight="1" s="74">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row>
    <row r="730" ht="13" customHeight="1" s="74">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row>
    <row r="731" ht="13" customHeight="1" s="74">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row>
    <row r="732" ht="13" customHeight="1" s="74">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row>
    <row r="733" ht="13" customHeight="1" s="74">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row>
    <row r="734" ht="13" customHeight="1" s="7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row>
    <row r="735" ht="13" customHeight="1" s="74">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row>
    <row r="736" ht="13" customHeight="1" s="74">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row>
    <row r="737" ht="13" customHeight="1" s="74">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row>
    <row r="738" ht="13" customHeight="1" s="74">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row>
    <row r="739" ht="13" customHeight="1" s="74">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row>
    <row r="740" ht="13" customHeight="1" s="74">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row>
    <row r="741" ht="13" customHeight="1" s="74">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row>
    <row r="742" ht="13" customHeight="1" s="74">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row>
    <row r="743" ht="13" customHeight="1" s="74">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row>
    <row r="744" ht="13" customHeight="1" s="7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row>
    <row r="745" ht="13" customHeight="1" s="74">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row>
    <row r="746" ht="13" customHeight="1" s="74">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row>
    <row r="747" ht="13" customHeight="1" s="74">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row>
    <row r="748" ht="13" customHeight="1" s="74">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row>
    <row r="749" ht="13" customHeight="1" s="74">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row>
    <row r="750" ht="13" customHeight="1" s="74">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row>
    <row r="751" ht="13" customHeight="1" s="74">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row>
    <row r="752" ht="13" customHeight="1" s="74">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row>
    <row r="753" ht="13" customHeight="1" s="74">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row>
    <row r="754" ht="13" customHeight="1" s="7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row>
    <row r="755" ht="13" customHeight="1" s="74">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row>
    <row r="756" ht="13" customHeight="1" s="74">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row>
    <row r="757" ht="13" customHeight="1" s="74">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row>
    <row r="758" ht="13" customHeight="1" s="74">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row>
    <row r="759" ht="13" customHeight="1" s="74">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row>
    <row r="760" ht="13" customHeight="1" s="74">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row>
    <row r="761" ht="13" customHeight="1" s="74">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row>
    <row r="762" ht="13" customHeight="1" s="74">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row>
    <row r="763" ht="13" customHeight="1" s="74">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row>
    <row r="764" ht="13" customHeight="1" s="7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row>
    <row r="765" ht="13" customHeight="1" s="74">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row>
    <row r="766" ht="13" customHeight="1" s="74">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row>
    <row r="767" ht="13" customHeight="1" s="74">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row>
    <row r="768" ht="13" customHeight="1" s="74">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row>
    <row r="769" ht="13" customHeight="1" s="74">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row>
    <row r="770" ht="13" customHeight="1" s="74">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row>
    <row r="771" ht="13" customHeight="1" s="74">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row>
    <row r="772" ht="13" customHeight="1" s="74">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row>
    <row r="773" ht="13" customHeight="1" s="74">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row>
    <row r="774" ht="13" customHeight="1" s="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row>
    <row r="775" ht="13" customHeight="1" s="74">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row>
    <row r="776" ht="13" customHeight="1" s="74">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row>
    <row r="777" ht="13" customHeight="1" s="74">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row>
    <row r="778" ht="13" customHeight="1" s="74">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row>
    <row r="779" ht="13" customHeight="1" s="74">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row>
    <row r="780" ht="13" customHeight="1" s="74">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row>
    <row r="781" ht="13" customHeight="1" s="74">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row>
    <row r="782" ht="13" customHeight="1" s="74">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row>
    <row r="783" ht="13" customHeight="1" s="74">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row>
    <row r="784" ht="13" customHeight="1" s="7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row>
    <row r="785" ht="13" customHeight="1" s="74">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row>
    <row r="786" ht="13" customHeight="1" s="74">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row>
    <row r="787" ht="13" customHeight="1" s="74">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row>
    <row r="788" ht="13" customHeight="1" s="74">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row>
    <row r="789" ht="13" customHeight="1" s="74">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row>
    <row r="790" ht="13" customHeight="1" s="74">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row>
    <row r="791" ht="13" customHeight="1" s="74">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row>
    <row r="792" ht="13" customHeight="1" s="74">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row>
    <row r="793" ht="13" customHeight="1" s="74">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row>
    <row r="794" ht="13" customHeight="1" s="7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row>
    <row r="795" ht="13" customHeight="1" s="74">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row>
    <row r="796" ht="13" customHeight="1" s="74">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row>
    <row r="797" ht="13" customHeight="1" s="74">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row>
    <row r="798" ht="13" customHeight="1" s="74">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row>
    <row r="799" ht="13" customHeight="1" s="74">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row>
    <row r="800" ht="13" customHeight="1" s="74">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row>
    <row r="801" ht="13" customHeight="1" s="74">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row>
    <row r="802" ht="13" customHeight="1" s="74">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row>
    <row r="803" ht="13" customHeight="1" s="74">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row>
    <row r="804" ht="13" customHeight="1" s="7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row>
    <row r="805" ht="13" customHeight="1" s="74">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row>
    <row r="806" ht="13" customHeight="1" s="74">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row>
    <row r="807" ht="13" customHeight="1" s="74">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row>
    <row r="808" ht="13" customHeight="1" s="74">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row>
    <row r="809" ht="13" customHeight="1" s="74">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row>
    <row r="810" ht="13" customHeight="1" s="74">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row>
    <row r="811" ht="13" customHeight="1" s="74">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row>
    <row r="812" ht="13" customHeight="1" s="74">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row>
    <row r="813" ht="13" customHeight="1" s="74">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row>
    <row r="814" ht="13" customHeight="1" s="7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row>
    <row r="815" ht="13" customHeight="1" s="74">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row>
    <row r="816" ht="13" customHeight="1" s="74">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row>
    <row r="817" ht="13" customHeight="1" s="74">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row>
    <row r="818" ht="13" customHeight="1" s="74">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row>
    <row r="819" ht="13" customHeight="1" s="74">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row>
    <row r="820" ht="13" customHeight="1" s="74">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row>
    <row r="821" ht="13" customHeight="1" s="74">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row>
    <row r="822" ht="13" customHeight="1" s="74">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row>
    <row r="823" ht="13" customHeight="1" s="74">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row>
    <row r="824" ht="13" customHeight="1" s="7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row>
    <row r="825" ht="13" customHeight="1" s="74">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row>
    <row r="826" ht="13" customHeight="1" s="74">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row>
    <row r="827" ht="13" customHeight="1" s="74">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row>
    <row r="828" ht="13" customHeight="1" s="74">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row>
    <row r="829" ht="13" customHeight="1" s="74">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row>
    <row r="830" ht="13" customHeight="1" s="74">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row>
    <row r="831" ht="13" customHeight="1" s="74">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row>
    <row r="832" ht="13" customHeight="1" s="74">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row>
    <row r="833" ht="13" customHeight="1" s="74">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row>
    <row r="834" ht="13" customHeight="1" s="7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row>
    <row r="835" ht="13" customHeight="1" s="74">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row>
    <row r="836" ht="13" customHeight="1" s="74">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row>
    <row r="837" ht="13" customHeight="1" s="74">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row>
    <row r="838" ht="13" customHeight="1" s="74">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row>
    <row r="839" ht="13" customHeight="1" s="74">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row>
    <row r="840" ht="13" customHeight="1" s="74">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row>
    <row r="841" ht="13" customHeight="1" s="74">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row>
    <row r="842" ht="13" customHeight="1" s="74">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row>
    <row r="843" ht="13" customHeight="1" s="74">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row>
    <row r="844" ht="13" customHeight="1" s="7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row>
    <row r="845" ht="13" customHeight="1" s="74">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row>
    <row r="846" ht="13" customHeight="1" s="74">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row>
    <row r="847" ht="13" customHeight="1" s="74">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row>
    <row r="848" ht="13" customHeight="1" s="74">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row>
    <row r="849" ht="13" customHeight="1" s="74">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row>
    <row r="850" ht="13" customHeight="1" s="74">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row>
    <row r="851" ht="13" customHeight="1" s="74">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row>
    <row r="852" ht="13" customHeight="1" s="74">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row>
    <row r="853" ht="13" customHeight="1" s="74">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row>
    <row r="854" ht="13" customHeight="1" s="7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row>
    <row r="855" ht="13" customHeight="1" s="74">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row>
    <row r="856" ht="13" customHeight="1" s="74">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row>
    <row r="857" ht="13" customHeight="1" s="74">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row>
    <row r="858" ht="13" customHeight="1" s="74">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row>
    <row r="859" ht="13" customHeight="1" s="74">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row>
    <row r="860" ht="13" customHeight="1" s="74">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row>
    <row r="861" ht="13" customHeight="1" s="74">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row>
    <row r="862" ht="13" customHeight="1" s="74">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row>
    <row r="863" ht="13" customHeight="1" s="74">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row>
    <row r="864" ht="13" customHeight="1" s="7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row>
    <row r="865" ht="13" customHeight="1" s="74">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row>
    <row r="866" ht="13" customHeight="1" s="74">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row>
    <row r="867" ht="13" customHeight="1" s="74">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row>
    <row r="868" ht="13" customHeight="1" s="74">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row>
    <row r="869" ht="13" customHeight="1" s="74">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row>
    <row r="870" ht="13" customHeight="1" s="74">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row>
    <row r="871" ht="13" customHeight="1" s="74">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row>
    <row r="872" ht="13" customHeight="1" s="74">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row>
    <row r="873" ht="13" customHeight="1" s="74">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row>
    <row r="874" ht="13" customHeight="1" s="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row>
    <row r="875" ht="13" customHeight="1" s="74">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row>
    <row r="876" ht="13" customHeight="1" s="74">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row>
    <row r="877" ht="13" customHeight="1" s="74">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row>
    <row r="878" ht="13" customHeight="1" s="74">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row>
    <row r="879" ht="13" customHeight="1" s="74">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row>
    <row r="880" ht="13" customHeight="1" s="74">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row>
    <row r="881" ht="13" customHeight="1" s="74">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row>
    <row r="882" ht="13" customHeight="1" s="74">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row>
    <row r="883" ht="13" customHeight="1" s="74">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row>
    <row r="884" ht="13" customHeight="1" s="7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row>
    <row r="885" ht="13" customHeight="1" s="74">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row>
    <row r="886" ht="13" customHeight="1" s="74">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row>
    <row r="887" ht="13" customHeight="1" s="74">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row>
    <row r="888" ht="13" customHeight="1" s="74">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row>
    <row r="889" ht="13" customHeight="1" s="74">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row>
    <row r="890" ht="13" customHeight="1" s="74">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row>
    <row r="891" ht="13" customHeight="1" s="74">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row>
    <row r="892" ht="13" customHeight="1" s="74">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row>
    <row r="893" ht="13" customHeight="1" s="74">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row>
    <row r="894" ht="13" customHeight="1" s="7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row>
    <row r="895" ht="13" customHeight="1" s="74">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row>
    <row r="896" ht="13" customHeight="1" s="74">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row>
    <row r="897" ht="13" customHeight="1" s="74">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row>
    <row r="898" ht="13" customHeight="1" s="74">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row>
    <row r="899" ht="13" customHeight="1" s="74">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row>
    <row r="900" ht="13" customHeight="1" s="74">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row>
    <row r="901" ht="13" customHeight="1" s="74">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row>
    <row r="902" ht="13" customHeight="1" s="74">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row>
    <row r="903" ht="13" customHeight="1" s="74">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row>
    <row r="904" ht="13" customHeight="1" s="7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row>
    <row r="905" ht="13" customHeight="1" s="74">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row>
    <row r="906" ht="13" customHeight="1" s="74">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row>
    <row r="907" ht="13" customHeight="1" s="74">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row>
    <row r="908" ht="13" customHeight="1" s="74">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row>
    <row r="909" ht="13" customHeight="1" s="74">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row>
    <row r="910" ht="13" customHeight="1" s="74">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row>
    <row r="911" ht="13" customHeight="1" s="74">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row>
    <row r="912" ht="13" customHeight="1" s="74">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row>
    <row r="913" ht="13" customHeight="1" s="74">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row>
    <row r="914" ht="13" customHeight="1" s="7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row>
    <row r="915" ht="13" customHeight="1" s="74">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row>
    <row r="916" ht="13" customHeight="1" s="74">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row>
    <row r="917" ht="13" customHeight="1" s="74">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row>
    <row r="918" ht="13" customHeight="1" s="74">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row>
    <row r="919" ht="13" customHeight="1" s="74">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row>
    <row r="920" ht="13" customHeight="1" s="74">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row>
    <row r="921" ht="13" customHeight="1" s="74">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row>
    <row r="922" ht="13" customHeight="1" s="74">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row>
    <row r="923" ht="13" customHeight="1" s="74">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row>
    <row r="924" ht="13" customHeight="1" s="7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row>
    <row r="925" ht="13" customHeight="1" s="74">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row>
    <row r="926" ht="13" customHeight="1" s="74">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row>
    <row r="927" ht="13" customHeight="1" s="74">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row>
    <row r="928" ht="13" customHeight="1" s="74">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row>
    <row r="929" ht="13" customHeight="1" s="74">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row>
    <row r="930" ht="13" customHeight="1" s="74">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row>
    <row r="931" ht="13" customHeight="1" s="74">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row>
    <row r="932" ht="13" customHeight="1" s="74">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row>
    <row r="933" ht="13" customHeight="1" s="74">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row>
    <row r="934" ht="13" customHeight="1" s="7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row>
    <row r="935" ht="13" customHeight="1" s="74">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row>
    <row r="936" ht="13" customHeight="1" s="74">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row>
    <row r="937" ht="13" customHeight="1" s="74">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row>
    <row r="938" ht="13" customHeight="1" s="74">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row>
    <row r="939" ht="13" customHeight="1" s="74">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row>
    <row r="940" ht="13" customHeight="1" s="74">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row>
    <row r="941" ht="13" customHeight="1" s="74">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row>
    <row r="942" ht="13" customHeight="1" s="74">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row>
    <row r="943" ht="13" customHeight="1" s="74">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row>
    <row r="944" ht="13" customHeight="1" s="7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row>
    <row r="945" ht="13" customHeight="1" s="74">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row>
    <row r="946" ht="13" customHeight="1" s="74">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row>
    <row r="947" ht="13" customHeight="1" s="74">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row>
    <row r="948" ht="13" customHeight="1" s="74">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row>
    <row r="949" ht="13" customHeight="1" s="74">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row>
    <row r="950" ht="13" customHeight="1" s="74">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row>
    <row r="951" ht="13" customHeight="1" s="74">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row>
    <row r="952" ht="13" customHeight="1" s="74">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row>
    <row r="953" ht="13" customHeight="1" s="74">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row>
    <row r="954" ht="13" customHeight="1" s="7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row>
    <row r="955" ht="13" customHeight="1" s="74">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row>
    <row r="956" ht="13" customHeight="1" s="74">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row>
    <row r="957" ht="13" customHeight="1" s="74">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row>
    <row r="958" ht="13" customHeight="1" s="74">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row>
    <row r="959" ht="13" customHeight="1" s="74">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row>
    <row r="960" ht="13" customHeight="1" s="74">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row>
    <row r="961" ht="13" customHeight="1" s="74">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row>
    <row r="962" ht="13" customHeight="1" s="74">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row>
    <row r="963" ht="13" customHeight="1" s="74">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row>
    <row r="964" ht="13" customHeight="1" s="7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row>
    <row r="965" ht="13" customHeight="1" s="74">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row>
    <row r="966" ht="13" customHeight="1" s="74">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row>
    <row r="967" ht="13" customHeight="1" s="74">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row>
    <row r="968" ht="13" customHeight="1" s="74">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row>
    <row r="969" ht="13" customHeight="1" s="74">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row>
    <row r="970" ht="13" customHeight="1" s="74">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row>
    <row r="971" ht="13" customHeight="1" s="74">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row>
    <row r="972" ht="13" customHeight="1" s="74">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row>
    <row r="973" ht="13" customHeight="1" s="74">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row>
    <row r="974" ht="13" customHeight="1" s="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row>
    <row r="975" ht="13" customHeight="1" s="74">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row>
    <row r="976" ht="13" customHeight="1" s="74">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row>
    <row r="977" ht="13" customHeight="1" s="74">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row>
    <row r="978" ht="13" customHeight="1" s="74">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row>
    <row r="979" ht="13" customHeight="1" s="74">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row>
    <row r="980" ht="13" customHeight="1" s="74">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row>
    <row r="981" ht="13" customHeight="1" s="74">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row>
    <row r="982" ht="13" customHeight="1" s="74">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row>
    <row r="983" ht="13" customHeight="1" s="74">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row>
    <row r="984" ht="13" customHeight="1" s="7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row>
    <row r="985" ht="13" customHeight="1" s="74">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row>
    <row r="986" ht="13" customHeight="1" s="74">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row>
    <row r="987" ht="13" customHeight="1" s="74">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row>
    <row r="988" ht="13" customHeight="1" s="74">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row>
    <row r="989" ht="13" customHeight="1" s="74">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row>
    <row r="990" ht="13" customHeight="1" s="74">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row>
    <row r="991" ht="13" customHeight="1" s="74">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row>
    <row r="992" ht="13" customHeight="1" s="74">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row>
    <row r="993" ht="13" customHeight="1" s="74">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row>
    <row r="994" ht="13" customHeight="1" s="7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row>
    <row r="995" ht="13" customHeight="1" s="74">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row>
    <row r="996" ht="13" customHeight="1" s="74">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row>
    <row r="997" ht="13" customHeight="1" s="74">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row>
    <row r="998" ht="13" customHeight="1" s="74">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row>
    <row r="999" ht="13" customHeight="1" s="74">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row>
    <row r="1000" ht="13" customHeight="1" s="74">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row>
    <row r="1001" ht="13" customHeight="1" s="74">
      <c r="A1001" s="18" t="n"/>
      <c r="B1001" s="18" t="n"/>
      <c r="C1001" s="18" t="n"/>
      <c r="D1001" s="18" t="n"/>
      <c r="E1001" s="18" t="n"/>
      <c r="F1001" s="18"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row>
    <row r="1002" ht="13" customHeight="1" s="74">
      <c r="A1002" s="18" t="n"/>
      <c r="B1002" s="18" t="n"/>
      <c r="C1002" s="18" t="n"/>
      <c r="D1002" s="18" t="n"/>
      <c r="E1002" s="18" t="n"/>
      <c r="F1002" s="18" t="n"/>
      <c r="G1002" s="18" t="n"/>
      <c r="H1002" s="18" t="n"/>
      <c r="I1002" s="18" t="n"/>
      <c r="J1002" s="18" t="n"/>
      <c r="K1002" s="18" t="n"/>
      <c r="L1002" s="18" t="n"/>
      <c r="M1002" s="18"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row>
    <row r="1003" ht="13" customHeight="1" s="74">
      <c r="A1003" s="18" t="n"/>
      <c r="B1003" s="18" t="n"/>
      <c r="C1003" s="18" t="n"/>
      <c r="D1003" s="18" t="n"/>
      <c r="E1003" s="18" t="n"/>
      <c r="F1003" s="18" t="n"/>
      <c r="G1003" s="18" t="n"/>
      <c r="H1003" s="18" t="n"/>
      <c r="I1003" s="18" t="n"/>
      <c r="J1003" s="18" t="n"/>
      <c r="K1003" s="18" t="n"/>
      <c r="L1003" s="18" t="n"/>
      <c r="M1003" s="18"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row>
    <row r="1004" ht="13" customHeight="1" s="74">
      <c r="A1004" s="18" t="n"/>
      <c r="B1004" s="18" t="n"/>
      <c r="C1004" s="18" t="n"/>
      <c r="D1004" s="18" t="n"/>
      <c r="E1004" s="18" t="n"/>
      <c r="F1004" s="18" t="n"/>
      <c r="G1004" s="18" t="n"/>
      <c r="H1004" s="18" t="n"/>
      <c r="I1004" s="18" t="n"/>
      <c r="J1004" s="18" t="n"/>
      <c r="K1004" s="18" t="n"/>
      <c r="L1004" s="18" t="n"/>
      <c r="M1004" s="18"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row>
    <row r="1005" ht="13" customHeight="1" s="74">
      <c r="A1005" s="18" t="n"/>
      <c r="B1005" s="18" t="n"/>
      <c r="C1005" s="18" t="n"/>
      <c r="D1005" s="18" t="n"/>
      <c r="E1005" s="18" t="n"/>
      <c r="F1005" s="18" t="n"/>
      <c r="G1005" s="18" t="n"/>
      <c r="H1005" s="18" t="n"/>
      <c r="I1005" s="18" t="n"/>
      <c r="J1005" s="18" t="n"/>
      <c r="K1005" s="18" t="n"/>
      <c r="L1005" s="18" t="n"/>
      <c r="M1005" s="18"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row>
    <row r="1006" ht="13" customHeight="1" s="74">
      <c r="A1006" s="18" t="n"/>
      <c r="B1006" s="18" t="n"/>
      <c r="C1006" s="18" t="n"/>
      <c r="D1006" s="18" t="n"/>
      <c r="E1006" s="18" t="n"/>
      <c r="F1006" s="18" t="n"/>
      <c r="G1006" s="18" t="n"/>
      <c r="H1006" s="18" t="n"/>
      <c r="I1006" s="18" t="n"/>
      <c r="J1006" s="18" t="n"/>
      <c r="K1006" s="18" t="n"/>
      <c r="L1006" s="18" t="n"/>
      <c r="M1006" s="18"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row>
    <row r="1007" ht="13" customHeight="1" s="74">
      <c r="A1007" s="18" t="n"/>
      <c r="B1007" s="18" t="n"/>
      <c r="C1007" s="18" t="n"/>
      <c r="D1007" s="18" t="n"/>
      <c r="E1007" s="18" t="n"/>
      <c r="F1007" s="18" t="n"/>
      <c r="G1007" s="18" t="n"/>
      <c r="H1007" s="18" t="n"/>
      <c r="I1007" s="18" t="n"/>
      <c r="J1007" s="18" t="n"/>
      <c r="K1007" s="18" t="n"/>
      <c r="L1007" s="18" t="n"/>
      <c r="M1007" s="18"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row>
    <row r="1008" ht="13" customHeight="1" s="74">
      <c r="A1008" s="18" t="n"/>
      <c r="B1008" s="18" t="n"/>
      <c r="C1008" s="18" t="n"/>
      <c r="D1008" s="18" t="n"/>
      <c r="E1008" s="18" t="n"/>
      <c r="F1008" s="18" t="n"/>
      <c r="G1008" s="18" t="n"/>
      <c r="H1008" s="18" t="n"/>
      <c r="I1008" s="18" t="n"/>
      <c r="J1008" s="18" t="n"/>
      <c r="K1008" s="18" t="n"/>
      <c r="L1008" s="18" t="n"/>
      <c r="M1008" s="18"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row>
    <row r="1009" ht="13" customHeight="1" s="74">
      <c r="A1009" s="18" t="n"/>
      <c r="B1009" s="18" t="n"/>
      <c r="C1009" s="18" t="n"/>
      <c r="D1009" s="18" t="n"/>
      <c r="E1009" s="18" t="n"/>
      <c r="F1009" s="18" t="n"/>
      <c r="G1009" s="18" t="n"/>
      <c r="H1009" s="18" t="n"/>
      <c r="I1009" s="18" t="n"/>
      <c r="J1009" s="18" t="n"/>
      <c r="K1009" s="18" t="n"/>
      <c r="L1009" s="18" t="n"/>
      <c r="M1009" s="18"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row>
    <row r="1010" ht="13" customHeight="1" s="74">
      <c r="A1010" s="18" t="n"/>
      <c r="B1010" s="18" t="n"/>
      <c r="C1010" s="18" t="n"/>
      <c r="D1010" s="18" t="n"/>
      <c r="E1010" s="18" t="n"/>
      <c r="F1010" s="18" t="n"/>
      <c r="G1010" s="18" t="n"/>
      <c r="H1010" s="18" t="n"/>
      <c r="I1010" s="18" t="n"/>
      <c r="J1010" s="18" t="n"/>
      <c r="K1010" s="18" t="n"/>
      <c r="L1010" s="18" t="n"/>
      <c r="M1010" s="18"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row>
    <row r="1011" ht="13" customHeight="1" s="74">
      <c r="A1011" s="18" t="n"/>
      <c r="B1011" s="18" t="n"/>
      <c r="C1011" s="18" t="n"/>
      <c r="D1011" s="18" t="n"/>
      <c r="E1011" s="18" t="n"/>
      <c r="F1011" s="18" t="n"/>
      <c r="G1011" s="18" t="n"/>
      <c r="H1011" s="18" t="n"/>
      <c r="I1011" s="18" t="n"/>
      <c r="J1011" s="18" t="n"/>
      <c r="K1011" s="18" t="n"/>
      <c r="L1011" s="18" t="n"/>
      <c r="M1011" s="18"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row>
    <row r="1012" ht="13" customHeight="1" s="74">
      <c r="A1012" s="18" t="n"/>
      <c r="B1012" s="18" t="n"/>
      <c r="C1012" s="18" t="n"/>
      <c r="D1012" s="18" t="n"/>
      <c r="E1012" s="18" t="n"/>
      <c r="F1012" s="18" t="n"/>
      <c r="G1012" s="18" t="n"/>
      <c r="H1012" s="18" t="n"/>
      <c r="I1012" s="18" t="n"/>
      <c r="J1012" s="18" t="n"/>
      <c r="K1012" s="18" t="n"/>
      <c r="L1012" s="18" t="n"/>
      <c r="M1012" s="18"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row>
    <row r="1013" ht="13" customHeight="1" s="74">
      <c r="A1013" s="18" t="n"/>
      <c r="B1013" s="18" t="n"/>
      <c r="C1013" s="18" t="n"/>
      <c r="D1013" s="18" t="n"/>
      <c r="E1013" s="18" t="n"/>
      <c r="F1013" s="18" t="n"/>
      <c r="G1013" s="18" t="n"/>
      <c r="H1013" s="18" t="n"/>
      <c r="I1013" s="18" t="n"/>
      <c r="J1013" s="18" t="n"/>
      <c r="K1013" s="18" t="n"/>
      <c r="L1013" s="18" t="n"/>
      <c r="M1013" s="18"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row>
    <row r="1014" ht="13" customHeight="1" s="74">
      <c r="A1014" s="18" t="n"/>
      <c r="B1014" s="18" t="n"/>
      <c r="C1014" s="18" t="n"/>
      <c r="D1014" s="18" t="n"/>
      <c r="E1014" s="18" t="n"/>
      <c r="F1014" s="18" t="n"/>
      <c r="G1014" s="18" t="n"/>
      <c r="H1014" s="18" t="n"/>
      <c r="I1014" s="18" t="n"/>
      <c r="J1014" s="18" t="n"/>
      <c r="K1014" s="18" t="n"/>
      <c r="L1014" s="18" t="n"/>
      <c r="M1014" s="18"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row>
    <row r="1015" ht="13" customHeight="1" s="74">
      <c r="A1015" s="18" t="n"/>
      <c r="B1015" s="18" t="n"/>
      <c r="C1015" s="18" t="n"/>
      <c r="D1015" s="18" t="n"/>
      <c r="E1015" s="18" t="n"/>
      <c r="F1015" s="18" t="n"/>
      <c r="G1015" s="18" t="n"/>
      <c r="H1015" s="18" t="n"/>
      <c r="I1015" s="18" t="n"/>
      <c r="J1015" s="18" t="n"/>
      <c r="K1015" s="18" t="n"/>
      <c r="L1015" s="18" t="n"/>
      <c r="M1015" s="18"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row>
    <row r="1016" ht="13" customHeight="1" s="74">
      <c r="A1016" s="18" t="n"/>
      <c r="B1016" s="18" t="n"/>
      <c r="C1016" s="18" t="n"/>
      <c r="D1016" s="18" t="n"/>
      <c r="E1016" s="18" t="n"/>
      <c r="F1016" s="18" t="n"/>
      <c r="G1016" s="18" t="n"/>
      <c r="H1016" s="18" t="n"/>
      <c r="I1016" s="18" t="n"/>
      <c r="J1016" s="18" t="n"/>
      <c r="K1016" s="18" t="n"/>
      <c r="L1016" s="18" t="n"/>
      <c r="M1016" s="18"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row>
    <row r="1017" ht="13" customHeight="1" s="74">
      <c r="A1017" s="18" t="n"/>
      <c r="B1017" s="18" t="n"/>
      <c r="C1017" s="18" t="n"/>
      <c r="D1017" s="18" t="n"/>
      <c r="E1017" s="18" t="n"/>
      <c r="F1017" s="18" t="n"/>
      <c r="G1017" s="18" t="n"/>
      <c r="H1017" s="18" t="n"/>
      <c r="I1017" s="18" t="n"/>
      <c r="J1017" s="18" t="n"/>
      <c r="K1017" s="18" t="n"/>
      <c r="L1017" s="18" t="n"/>
      <c r="M1017" s="18"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row>
    <row r="1018" ht="13" customHeight="1" s="74">
      <c r="A1018" s="18" t="n"/>
      <c r="B1018" s="18" t="n"/>
      <c r="C1018" s="18" t="n"/>
      <c r="D1018" s="18" t="n"/>
      <c r="E1018" s="18" t="n"/>
      <c r="F1018" s="18" t="n"/>
      <c r="G1018" s="18" t="n"/>
      <c r="H1018" s="18" t="n"/>
      <c r="I1018" s="18" t="n"/>
      <c r="J1018" s="18" t="n"/>
      <c r="K1018" s="18" t="n"/>
      <c r="L1018" s="18" t="n"/>
      <c r="M1018" s="18"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row>
    <row r="1019" ht="13" customHeight="1" s="74">
      <c r="A1019" s="18" t="n"/>
      <c r="B1019" s="18" t="n"/>
      <c r="C1019" s="18" t="n"/>
      <c r="D1019" s="18" t="n"/>
      <c r="E1019" s="18" t="n"/>
      <c r="F1019" s="18" t="n"/>
      <c r="G1019" s="18" t="n"/>
      <c r="H1019" s="18" t="n"/>
      <c r="I1019" s="18" t="n"/>
      <c r="J1019" s="18" t="n"/>
      <c r="K1019" s="18" t="n"/>
      <c r="L1019" s="18" t="n"/>
      <c r="M1019" s="18"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row>
    <row r="1020" ht="13" customHeight="1" s="74">
      <c r="A1020" s="18" t="n"/>
      <c r="B1020" s="18" t="n"/>
      <c r="C1020" s="18" t="n"/>
      <c r="D1020" s="18" t="n"/>
      <c r="E1020" s="18" t="n"/>
      <c r="F1020" s="18" t="n"/>
      <c r="G1020" s="18" t="n"/>
      <c r="H1020" s="18" t="n"/>
      <c r="I1020" s="18" t="n"/>
      <c r="J1020" s="18" t="n"/>
      <c r="K1020" s="18" t="n"/>
      <c r="L1020" s="18" t="n"/>
      <c r="M1020" s="18"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row>
    <row r="1021" ht="13" customHeight="1" s="74">
      <c r="A1021" s="18" t="n"/>
      <c r="B1021" s="18" t="n"/>
      <c r="C1021" s="18" t="n"/>
      <c r="D1021" s="18" t="n"/>
      <c r="E1021" s="18" t="n"/>
      <c r="F1021" s="18" t="n"/>
      <c r="G1021" s="18" t="n"/>
      <c r="H1021" s="18" t="n"/>
      <c r="I1021" s="18" t="n"/>
      <c r="J1021" s="18" t="n"/>
      <c r="K1021" s="18" t="n"/>
      <c r="L1021" s="18" t="n"/>
      <c r="M1021" s="18"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row>
    <row r="1022" ht="13" customHeight="1" s="74">
      <c r="A1022" s="18" t="n"/>
      <c r="B1022" s="18" t="n"/>
      <c r="C1022" s="18" t="n"/>
      <c r="D1022" s="18" t="n"/>
      <c r="E1022" s="18" t="n"/>
      <c r="F1022" s="18" t="n"/>
      <c r="G1022" s="18" t="n"/>
      <c r="H1022" s="18" t="n"/>
      <c r="I1022" s="18" t="n"/>
      <c r="J1022" s="18" t="n"/>
      <c r="K1022" s="18" t="n"/>
      <c r="L1022" s="18" t="n"/>
      <c r="M1022" s="18"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row>
    <row r="1023" ht="13" customHeight="1" s="74">
      <c r="A1023" s="18" t="n"/>
      <c r="B1023" s="18" t="n"/>
      <c r="C1023" s="18" t="n"/>
      <c r="D1023" s="18" t="n"/>
      <c r="E1023" s="18" t="n"/>
      <c r="F1023" s="18" t="n"/>
      <c r="G1023" s="18" t="n"/>
      <c r="H1023" s="18" t="n"/>
      <c r="I1023" s="18" t="n"/>
      <c r="J1023" s="18" t="n"/>
      <c r="K1023" s="18" t="n"/>
      <c r="L1023" s="18" t="n"/>
      <c r="M1023" s="18" t="n"/>
      <c r="N1023" s="18" t="n"/>
      <c r="O1023" s="18" t="n"/>
      <c r="P1023" s="18" t="n"/>
      <c r="Q1023" s="18" t="n"/>
      <c r="R1023" s="18" t="n"/>
      <c r="S1023" s="18" t="n"/>
      <c r="T1023" s="18" t="n"/>
      <c r="U1023" s="18" t="n"/>
      <c r="V1023" s="18" t="n"/>
      <c r="W1023" s="18" t="n"/>
      <c r="X1023" s="18" t="n"/>
      <c r="Y1023" s="18" t="n"/>
      <c r="Z1023" s="18" t="n"/>
      <c r="AA1023" s="18" t="n"/>
      <c r="AB1023" s="18" t="n"/>
      <c r="AC1023" s="18" t="n"/>
      <c r="AD1023" s="18" t="n"/>
      <c r="AE1023" s="18" t="n"/>
      <c r="AF1023" s="18" t="n"/>
      <c r="AG1023" s="18" t="n"/>
    </row>
    <row r="1024" ht="13" customHeight="1" s="74">
      <c r="A1024" s="18" t="n"/>
      <c r="B1024" s="18" t="n"/>
      <c r="C1024" s="18" t="n"/>
      <c r="D1024" s="18" t="n"/>
      <c r="E1024" s="18" t="n"/>
      <c r="F1024" s="18" t="n"/>
      <c r="G1024" s="18" t="n"/>
      <c r="H1024" s="18" t="n"/>
      <c r="I1024" s="18" t="n"/>
      <c r="J1024" s="18" t="n"/>
      <c r="K1024" s="18" t="n"/>
      <c r="L1024" s="18" t="n"/>
      <c r="M1024" s="18" t="n"/>
      <c r="N1024" s="18" t="n"/>
      <c r="O1024" s="18" t="n"/>
      <c r="P1024" s="18" t="n"/>
      <c r="Q1024" s="18" t="n"/>
      <c r="R1024" s="18" t="n"/>
      <c r="S1024" s="18" t="n"/>
      <c r="T1024" s="18" t="n"/>
      <c r="U1024" s="18" t="n"/>
      <c r="V1024" s="18" t="n"/>
      <c r="W1024" s="18" t="n"/>
      <c r="X1024" s="18" t="n"/>
      <c r="Y1024" s="18" t="n"/>
      <c r="Z1024" s="18" t="n"/>
      <c r="AA1024" s="18" t="n"/>
      <c r="AB1024" s="18" t="n"/>
      <c r="AC1024" s="18" t="n"/>
      <c r="AD1024" s="18" t="n"/>
      <c r="AE1024" s="18" t="n"/>
      <c r="AF1024" s="18" t="n"/>
      <c r="AG1024" s="18" t="n"/>
    </row>
    <row r="1025" ht="13" customHeight="1" s="74">
      <c r="A1025" s="18" t="n"/>
      <c r="B1025" s="18" t="n"/>
      <c r="C1025" s="18" t="n"/>
      <c r="D1025" s="18" t="n"/>
      <c r="E1025" s="18" t="n"/>
      <c r="F1025" s="18" t="n"/>
      <c r="G1025" s="18" t="n"/>
      <c r="H1025" s="18" t="n"/>
      <c r="I1025" s="18" t="n"/>
      <c r="J1025" s="18" t="n"/>
      <c r="K1025" s="18" t="n"/>
      <c r="L1025" s="18" t="n"/>
      <c r="M1025" s="18" t="n"/>
      <c r="N1025" s="18" t="n"/>
      <c r="O1025" s="18" t="n"/>
      <c r="P1025" s="18" t="n"/>
      <c r="Q1025" s="18" t="n"/>
      <c r="R1025" s="18" t="n"/>
      <c r="S1025" s="18" t="n"/>
      <c r="T1025" s="18" t="n"/>
      <c r="U1025" s="18" t="n"/>
      <c r="V1025" s="18" t="n"/>
      <c r="W1025" s="18" t="n"/>
      <c r="X1025" s="18" t="n"/>
      <c r="Y1025" s="18" t="n"/>
      <c r="Z1025" s="18" t="n"/>
      <c r="AA1025" s="18" t="n"/>
      <c r="AB1025" s="18" t="n"/>
      <c r="AC1025" s="18" t="n"/>
      <c r="AD1025" s="18" t="n"/>
      <c r="AE1025" s="18" t="n"/>
      <c r="AF1025" s="18" t="n"/>
      <c r="AG1025" s="18" t="n"/>
    </row>
    <row r="1026" ht="13" customHeight="1" s="74">
      <c r="A1026" s="18" t="n"/>
      <c r="B1026" s="18" t="n"/>
      <c r="C1026" s="18" t="n"/>
      <c r="D1026" s="18" t="n"/>
      <c r="E1026" s="18" t="n"/>
      <c r="F1026" s="18" t="n"/>
      <c r="G1026" s="18" t="n"/>
      <c r="H1026" s="18" t="n"/>
      <c r="I1026" s="18" t="n"/>
      <c r="J1026" s="18" t="n"/>
      <c r="K1026" s="18" t="n"/>
      <c r="L1026" s="18" t="n"/>
      <c r="M1026" s="18" t="n"/>
      <c r="N1026" s="18" t="n"/>
      <c r="O1026" s="18" t="n"/>
      <c r="P1026" s="18" t="n"/>
      <c r="Q1026" s="18" t="n"/>
      <c r="R1026" s="18" t="n"/>
      <c r="S1026" s="18" t="n"/>
      <c r="T1026" s="18" t="n"/>
      <c r="U1026" s="18" t="n"/>
      <c r="V1026" s="18" t="n"/>
      <c r="W1026" s="18" t="n"/>
      <c r="X1026" s="18" t="n"/>
      <c r="Y1026" s="18" t="n"/>
      <c r="Z1026" s="18" t="n"/>
      <c r="AA1026" s="18" t="n"/>
      <c r="AB1026" s="18" t="n"/>
      <c r="AC1026" s="18" t="n"/>
      <c r="AD1026" s="18" t="n"/>
      <c r="AE1026" s="18" t="n"/>
      <c r="AF1026" s="18" t="n"/>
      <c r="AG1026" s="18" t="n"/>
    </row>
    <row r="1027" ht="13" customHeight="1" s="74">
      <c r="A1027" s="18" t="n"/>
      <c r="B1027" s="18" t="n"/>
      <c r="C1027" s="18" t="n"/>
      <c r="D1027" s="18" t="n"/>
      <c r="E1027" s="18" t="n"/>
      <c r="F1027" s="18" t="n"/>
      <c r="G1027" s="18" t="n"/>
      <c r="H1027" s="18" t="n"/>
      <c r="I1027" s="18" t="n"/>
      <c r="J1027" s="18" t="n"/>
      <c r="K1027" s="18" t="n"/>
      <c r="L1027" s="18" t="n"/>
      <c r="M1027" s="18" t="n"/>
      <c r="N1027" s="18" t="n"/>
      <c r="O1027" s="18" t="n"/>
      <c r="P1027" s="18" t="n"/>
      <c r="Q1027" s="18" t="n"/>
      <c r="R1027" s="18" t="n"/>
      <c r="S1027" s="18" t="n"/>
      <c r="T1027" s="18" t="n"/>
      <c r="U1027" s="18" t="n"/>
      <c r="V1027" s="18" t="n"/>
      <c r="W1027" s="18" t="n"/>
      <c r="X1027" s="18" t="n"/>
      <c r="Y1027" s="18" t="n"/>
      <c r="Z1027" s="18" t="n"/>
      <c r="AA1027" s="18" t="n"/>
      <c r="AB1027" s="18" t="n"/>
      <c r="AC1027" s="18" t="n"/>
      <c r="AD1027" s="18" t="n"/>
      <c r="AE1027" s="18" t="n"/>
      <c r="AF1027" s="18" t="n"/>
      <c r="AG1027" s="18" t="n"/>
    </row>
    <row r="1028" ht="13" customHeight="1" s="74">
      <c r="A1028" s="18" t="n"/>
      <c r="B1028" s="18" t="n"/>
      <c r="C1028" s="18" t="n"/>
      <c r="D1028" s="18" t="n"/>
      <c r="E1028" s="18" t="n"/>
      <c r="F1028" s="18" t="n"/>
      <c r="G1028" s="18" t="n"/>
      <c r="H1028" s="18" t="n"/>
      <c r="I1028" s="18" t="n"/>
      <c r="J1028" s="18" t="n"/>
      <c r="K1028" s="18" t="n"/>
      <c r="L1028" s="18" t="n"/>
      <c r="M1028" s="18" t="n"/>
      <c r="N1028" s="18" t="n"/>
      <c r="O1028" s="18" t="n"/>
      <c r="P1028" s="18" t="n"/>
      <c r="Q1028" s="18" t="n"/>
      <c r="R1028" s="18" t="n"/>
      <c r="S1028" s="18" t="n"/>
      <c r="T1028" s="18" t="n"/>
      <c r="U1028" s="18" t="n"/>
      <c r="V1028" s="18" t="n"/>
      <c r="W1028" s="18" t="n"/>
      <c r="X1028" s="18" t="n"/>
      <c r="Y1028" s="18" t="n"/>
      <c r="Z1028" s="18" t="n"/>
      <c r="AA1028" s="18" t="n"/>
      <c r="AB1028" s="18" t="n"/>
      <c r="AC1028" s="18" t="n"/>
      <c r="AD1028" s="18" t="n"/>
      <c r="AE1028" s="18" t="n"/>
      <c r="AF1028" s="18" t="n"/>
      <c r="AG1028" s="18" t="n"/>
    </row>
    <row r="1029" ht="13" customHeight="1" s="74">
      <c r="A1029" s="18" t="n"/>
      <c r="B1029" s="18" t="n"/>
      <c r="C1029" s="18" t="n"/>
      <c r="D1029" s="18" t="n"/>
      <c r="E1029" s="18" t="n"/>
      <c r="F1029" s="18" t="n"/>
      <c r="G1029" s="18" t="n"/>
      <c r="H1029" s="18" t="n"/>
      <c r="I1029" s="18" t="n"/>
      <c r="J1029" s="18" t="n"/>
      <c r="K1029" s="18" t="n"/>
      <c r="L1029" s="18" t="n"/>
      <c r="M1029" s="18" t="n"/>
      <c r="N1029" s="18" t="n"/>
      <c r="O1029" s="18" t="n"/>
      <c r="P1029" s="18" t="n"/>
      <c r="Q1029" s="18" t="n"/>
      <c r="R1029" s="18" t="n"/>
      <c r="S1029" s="18" t="n"/>
      <c r="T1029" s="18" t="n"/>
      <c r="U1029" s="18" t="n"/>
      <c r="V1029" s="18" t="n"/>
      <c r="W1029" s="18" t="n"/>
      <c r="X1029" s="18" t="n"/>
      <c r="Y1029" s="18" t="n"/>
      <c r="Z1029" s="18" t="n"/>
      <c r="AA1029" s="18" t="n"/>
      <c r="AB1029" s="18" t="n"/>
      <c r="AC1029" s="18" t="n"/>
      <c r="AD1029" s="18" t="n"/>
      <c r="AE1029" s="18" t="n"/>
      <c r="AF1029" s="18" t="n"/>
      <c r="AG1029" s="18" t="n"/>
    </row>
    <row r="1030" ht="13" customHeight="1" s="74">
      <c r="A1030" s="18" t="n"/>
      <c r="B1030" s="18" t="n"/>
      <c r="C1030" s="18" t="n"/>
      <c r="D1030" s="18" t="n"/>
      <c r="E1030" s="18" t="n"/>
      <c r="F1030" s="18" t="n"/>
      <c r="G1030" s="18" t="n"/>
      <c r="H1030" s="18" t="n"/>
      <c r="I1030" s="18" t="n"/>
      <c r="J1030" s="18" t="n"/>
      <c r="K1030" s="18" t="n"/>
      <c r="L1030" s="18" t="n"/>
      <c r="M1030" s="18" t="n"/>
      <c r="N1030" s="18" t="n"/>
      <c r="O1030" s="18" t="n"/>
      <c r="P1030" s="18" t="n"/>
      <c r="Q1030" s="18" t="n"/>
      <c r="R1030" s="18" t="n"/>
      <c r="S1030" s="18" t="n"/>
      <c r="T1030" s="18" t="n"/>
      <c r="U1030" s="18" t="n"/>
      <c r="V1030" s="18" t="n"/>
      <c r="W1030" s="18" t="n"/>
      <c r="X1030" s="18" t="n"/>
      <c r="Y1030" s="18" t="n"/>
      <c r="Z1030" s="18" t="n"/>
      <c r="AA1030" s="18" t="n"/>
      <c r="AB1030" s="18" t="n"/>
      <c r="AC1030" s="18" t="n"/>
      <c r="AD1030" s="18" t="n"/>
      <c r="AE1030" s="18" t="n"/>
      <c r="AF1030" s="18" t="n"/>
      <c r="AG1030" s="18" t="n"/>
    </row>
    <row r="1031" ht="13" customHeight="1" s="74">
      <c r="A1031" s="18" t="n"/>
      <c r="B1031" s="18" t="n"/>
      <c r="C1031" s="18" t="n"/>
      <c r="D1031" s="18" t="n"/>
      <c r="E1031" s="18" t="n"/>
      <c r="F1031" s="18" t="n"/>
      <c r="G1031" s="18" t="n"/>
      <c r="H1031" s="18" t="n"/>
      <c r="I1031" s="18" t="n"/>
      <c r="J1031" s="18" t="n"/>
      <c r="K1031" s="18" t="n"/>
      <c r="L1031" s="18" t="n"/>
      <c r="M1031" s="18" t="n"/>
      <c r="N1031" s="18" t="n"/>
      <c r="O1031" s="18" t="n"/>
      <c r="P1031" s="18" t="n"/>
      <c r="Q1031" s="18" t="n"/>
      <c r="R1031" s="18" t="n"/>
      <c r="S1031" s="18" t="n"/>
      <c r="T1031" s="18" t="n"/>
      <c r="U1031" s="18" t="n"/>
      <c r="V1031" s="18" t="n"/>
      <c r="W1031" s="18" t="n"/>
      <c r="X1031" s="18" t="n"/>
      <c r="Y1031" s="18" t="n"/>
      <c r="Z1031" s="18" t="n"/>
      <c r="AA1031" s="18" t="n"/>
      <c r="AB1031" s="18" t="n"/>
      <c r="AC1031" s="18" t="n"/>
      <c r="AD1031" s="18" t="n"/>
      <c r="AE1031" s="18" t="n"/>
      <c r="AF1031" s="18" t="n"/>
      <c r="AG1031" s="18" t="n"/>
    </row>
    <row r="1032" ht="13" customHeight="1" s="74">
      <c r="A1032" s="18" t="n"/>
      <c r="B1032" s="18" t="n"/>
      <c r="C1032" s="18" t="n"/>
      <c r="D1032" s="18" t="n"/>
      <c r="E1032" s="18" t="n"/>
      <c r="F1032" s="18" t="n"/>
      <c r="G1032" s="18" t="n"/>
      <c r="H1032" s="18" t="n"/>
      <c r="I1032" s="18" t="n"/>
      <c r="J1032" s="18" t="n"/>
      <c r="K1032" s="18" t="n"/>
      <c r="L1032" s="18" t="n"/>
      <c r="M1032" s="18" t="n"/>
      <c r="N1032" s="18" t="n"/>
      <c r="O1032" s="18" t="n"/>
      <c r="P1032" s="18" t="n"/>
      <c r="Q1032" s="18" t="n"/>
      <c r="R1032" s="18" t="n"/>
      <c r="S1032" s="18" t="n"/>
      <c r="T1032" s="18" t="n"/>
      <c r="U1032" s="18" t="n"/>
      <c r="V1032" s="18" t="n"/>
      <c r="W1032" s="18" t="n"/>
      <c r="X1032" s="18" t="n"/>
      <c r="Y1032" s="18" t="n"/>
      <c r="Z1032" s="18" t="n"/>
      <c r="AA1032" s="18" t="n"/>
      <c r="AB1032" s="18" t="n"/>
      <c r="AC1032" s="18" t="n"/>
      <c r="AD1032" s="18" t="n"/>
      <c r="AE1032" s="18" t="n"/>
      <c r="AF1032" s="18" t="n"/>
      <c r="AG1032" s="18" t="n"/>
    </row>
  </sheetData>
  <mergeCells count="3">
    <mergeCell ref="A76:B76"/>
    <mergeCell ref="A78:B78"/>
    <mergeCell ref="A77:B77"/>
  </mergeCells>
  <hyperlinks>
    <hyperlink xmlns:r="http://schemas.openxmlformats.org/officeDocument/2006/relationships" ref="J3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2025-12-31T08:54:28Z</dcterms:created>
  <dcterms:modified xmlns:dcterms="http://purl.org/dc/terms/" xmlns:xsi="http://www.w3.org/2001/XMLSchema-instance" xsi:type="dcterms:W3CDTF">2025-12-31T08:59:21Z</dcterms:modified>
  <cp:lastModifiedBy>Mia Chen</cp:lastModifiedBy>
</cp:coreProperties>
</file>