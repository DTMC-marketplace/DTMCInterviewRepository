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miachen/Desktop/Mia/DT Master/Tech/Carbonstp/Data/RAG/"/>
    </mc:Choice>
  </mc:AlternateContent>
  <xr:revisionPtr revIDLastSave="0" documentId="13_ncr:1_{56D6F459-D337-6F42-B0DF-0A7800220A04}" xr6:coauthVersionLast="47" xr6:coauthVersionMax="47" xr10:uidLastSave="{00000000-0000-0000-0000-000000000000}"/>
  <bookViews>
    <workbookView xWindow="0" yWindow="780" windowWidth="34200" windowHeight="19720" xr2:uid="{00000000-000D-0000-FFFF-FFFF00000000}"/>
  </bookViews>
  <sheets>
    <sheet name="排放源列表 Emission source list" sheetId="1" r:id="rId1"/>
    <sheet name="枚举值" sheetId="2" state="hidden" r:id="rId2"/>
    <sheet name="Sheet1" sheetId="3" r:id="rId3"/>
    <sheet name="Calculation - Audit"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1" i="4" l="1"/>
  <c r="D32" i="4"/>
</calcChain>
</file>

<file path=xl/sharedStrings.xml><?xml version="1.0" encoding="utf-8"?>
<sst xmlns="http://schemas.openxmlformats.org/spreadsheetml/2006/main" count="5854" uniqueCount="1751">
  <si>
    <t>填写须知：
1、* 为必填项，系统导出带“*”字段数据修改后将自动新增一条；
2、导入时将根据排放源ID进行数据更新；可在表后新增排放源数据，新增时请勿填写排放源ID；不支持删除系统导出的数据，删除操作需在系统排放源界面操作。
Filling Instructions:
1、Fields marked with * are mandatory. Data exported from the system with "*" fields will automatically create a new entry after modification.
2、Adding new emission source data is supported, but deleting data exported from the system is not supported. To delete data, please operate in the system's emission source interface.</t>
  </si>
  <si>
    <t>排放源基本信息(Emission source information)</t>
  </si>
  <si>
    <t>活动数据(Activity data)</t>
  </si>
  <si>
    <t>因子信息(Factor information)</t>
  </si>
  <si>
    <t>二氧化碳当量（CO₂e）</t>
  </si>
  <si>
    <t>二氧化碳（CO₂）</t>
  </si>
  <si>
    <t>甲烷（CH₄）</t>
  </si>
  <si>
    <t>氧化亚氮（N₂O）</t>
  </si>
  <si>
    <t>氢氟碳化物（HFCs）</t>
  </si>
  <si>
    <t>全氟碳化物（PFCs）</t>
  </si>
  <si>
    <t>六氟化硫（SF₆）</t>
  </si>
  <si>
    <t>三氟化氮（NF₃）</t>
  </si>
  <si>
    <t>排放源ID
Emission source ID</t>
  </si>
  <si>
    <t>*排放源名称
*Emission source name</t>
  </si>
  <si>
    <t>*排放设施/活动
*Emission facilities/activities</t>
  </si>
  <si>
    <t>*GHG类别
*GHG Protocol classification</t>
  </si>
  <si>
    <t>活动数据
Activity data</t>
  </si>
  <si>
    <t>*单位
*Unit</t>
  </si>
  <si>
    <t>*数据类别
*Data category</t>
  </si>
  <si>
    <t>记录方式
Recording method</t>
  </si>
  <si>
    <t>保存部门
Saves by team/BU</t>
  </si>
  <si>
    <t>指定填报人
Reported by</t>
  </si>
  <si>
    <t>因子ID
Factor ID</t>
  </si>
  <si>
    <t>因子名称
Factor Name</t>
  </si>
  <si>
    <t>因子单位（分母）
Denominator unit</t>
  </si>
  <si>
    <t>单位换算比例（活动数据单位/排放因子分母单位）
Conversion of units ratio (activity data unit/emission factor denominator unit)</t>
  </si>
  <si>
    <t>因子类别
Factor category</t>
  </si>
  <si>
    <t>因子来源
Factor Source</t>
  </si>
  <si>
    <t>发布年份
Publication year</t>
  </si>
  <si>
    <t>因子数值
Factor value</t>
  </si>
  <si>
    <t>因子单位（分子）
Numerator unit</t>
  </si>
  <si>
    <t>温室气体（例如HFC-23）
GHG, like HFC-23</t>
  </si>
  <si>
    <t>温室气体（例如PFC-14）
GHG, like PFC-14</t>
  </si>
  <si>
    <t>supplementary health insurance premium</t>
  </si>
  <si>
    <t>supplementary health insurance premium - France</t>
  </si>
  <si>
    <t>范围三，类别1：外购商品和服务 Purchased goods and services</t>
  </si>
  <si>
    <t>欧元(Euro)</t>
  </si>
  <si>
    <t>定期记录/凭证数据 periodic measurement</t>
  </si>
  <si>
    <t>invoice-based</t>
  </si>
  <si>
    <t>Finance/Accounting</t>
  </si>
  <si>
    <t>Assurance, réassurance, retraites (hors sécurité sociale) – 2022</t>
  </si>
  <si>
    <t>keuro (2022) HT</t>
  </si>
  <si>
    <t>国家排放因子 National emission factors</t>
  </si>
  <si>
    <t>kgCO2e</t>
  </si>
  <si>
    <t>equipment lease (Lenovo ThinkBook G7), 36 months</t>
  </si>
  <si>
    <t>equipment lease (Lenovo ThinkBook G7), 36 months -</t>
  </si>
  <si>
    <t>Services de réparation d'ordinateurs et de biens personnels et domestiques - 2023</t>
  </si>
  <si>
    <t>keuro (2023) HT</t>
  </si>
  <si>
    <t>Software subscription service</t>
  </si>
  <si>
    <t>Software subscription service - Ireland</t>
  </si>
  <si>
    <t>Programmation, conseil IT / Services d'information – 2023</t>
  </si>
  <si>
    <t>cloud computing services (Amazon EC2 usage)</t>
  </si>
  <si>
    <t>cloud computing services (Amazon EC2 usage) - Fran</t>
  </si>
  <si>
    <t>美元(US Dollar)</t>
  </si>
  <si>
    <t>Programmation, conseil IT / Services d'information – 2020</t>
  </si>
  <si>
    <t>keuro (2020) HT</t>
  </si>
  <si>
    <t>Software subscription service - France</t>
  </si>
  <si>
    <t>Software subscription service - United States</t>
  </si>
  <si>
    <t>Software subscription (prorated additional user)</t>
  </si>
  <si>
    <t>Software subscription (prorated additional user) -</t>
  </si>
  <si>
    <t>SaaS subscription (prorated seat)</t>
  </si>
  <si>
    <t>SaaS subscription (prorated seat) - United States</t>
  </si>
  <si>
    <t>1 achat sur le web</t>
  </si>
  <si>
    <t>software subscription</t>
  </si>
  <si>
    <t>software subscription - United States</t>
  </si>
  <si>
    <t>Software subscription proration</t>
  </si>
  <si>
    <t>Software subscription proration - United States</t>
  </si>
  <si>
    <t>services - commission fee</t>
  </si>
  <si>
    <t>services - commission fee - France</t>
  </si>
  <si>
    <t>Services d'architecture et d'ingénierie/ services de contrôle et analyses techniques - 2023</t>
  </si>
  <si>
    <t>accounting services</t>
  </si>
  <si>
    <t>accounting services - France</t>
  </si>
  <si>
    <t>Services juridiques et comptables/ services des sièges sociaux/ conseil de gestion - 2023</t>
  </si>
  <si>
    <t>accounting services invoice</t>
  </si>
  <si>
    <t>accounting services invoice - France</t>
  </si>
  <si>
    <t>Services juridiques et comptables/ services des sièges sociaux/ conseil de gestion - 2019</t>
  </si>
  <si>
    <t>keuro (2019) HT</t>
  </si>
  <si>
    <t>professional services (accounting services retaine</t>
  </si>
  <si>
    <t>professional services - accounting (advance)</t>
  </si>
  <si>
    <t>professional services - accounting (advance) - Fra</t>
  </si>
  <si>
    <t>consulting</t>
  </si>
  <si>
    <t>consulting - France</t>
  </si>
  <si>
    <t>social contributions declaration (URSSAF DSN)</t>
  </si>
  <si>
    <t>Services d'administration publique et de défense/ services de sécurité sociale obligatoire - 2022</t>
  </si>
  <si>
    <t>Social security contributions payment</t>
  </si>
  <si>
    <t>Payroll social security contributions (URSSAF)</t>
  </si>
  <si>
    <t>Payroll social contributions remittance (DSN)</t>
  </si>
  <si>
    <t>Travel - intercity bus tickets</t>
  </si>
  <si>
    <t>Travel - intercity bus tickets - France</t>
  </si>
  <si>
    <t>范围三，类别6：商务旅行 Business travel</t>
  </si>
  <si>
    <t>Autobus moyen</t>
  </si>
  <si>
    <t>passager.km</t>
  </si>
  <si>
    <t>Travel - intercity bus tickets - France; Spain</t>
  </si>
  <si>
    <t>travel</t>
  </si>
  <si>
    <t>Autobus</t>
  </si>
  <si>
    <t>Bus travel ticket</t>
  </si>
  <si>
    <t>Bus travel ticket - France; Spain</t>
  </si>
  <si>
    <t>travel - bus</t>
  </si>
  <si>
    <t>travel - bus - Spain; France</t>
  </si>
  <si>
    <t>voucher issuance</t>
  </si>
  <si>
    <t>Réseau de chaleur</t>
  </si>
  <si>
    <t>Metro</t>
  </si>
  <si>
    <t>Metro - France</t>
  </si>
  <si>
    <t>Métro, tramway, trolleybus</t>
  </si>
  <si>
    <t>Métro</t>
  </si>
  <si>
    <t>train ticket</t>
  </si>
  <si>
    <t>train ticket - France to France</t>
  </si>
  <si>
    <t>TGV, Train Grande Vitesse</t>
  </si>
  <si>
    <t>sales invoice</t>
  </si>
  <si>
    <t>Réfrigération sur lieu de vente</t>
  </si>
  <si>
    <t>restaurant</t>
  </si>
  <si>
    <t>restaurant - France</t>
  </si>
  <si>
    <t>Services d'hébergement et de restauration - 2023</t>
  </si>
  <si>
    <t>services</t>
  </si>
  <si>
    <t>services - France</t>
  </si>
  <si>
    <t>training service</t>
  </si>
  <si>
    <t>hour</t>
  </si>
  <si>
    <t>Train</t>
  </si>
  <si>
    <t>training services</t>
  </si>
  <si>
    <t>Entreposage et services auxiliaires des transports - 2022</t>
  </si>
  <si>
    <t>service</t>
  </si>
  <si>
    <t>service - education/training fee</t>
  </si>
  <si>
    <t>service - education/training fee - France</t>
  </si>
  <si>
    <t>Services de l'enseignement - 2022</t>
  </si>
  <si>
    <t>Education program fee receipt</t>
  </si>
  <si>
    <t>Services de l'enseignement - 2023</t>
  </si>
  <si>
    <t>tuition payment receipt</t>
  </si>
  <si>
    <t>tuition payment receipt - Singapore</t>
  </si>
  <si>
    <t>training services - Germany</t>
  </si>
  <si>
    <t>invoice</t>
  </si>
  <si>
    <t>invoice - France</t>
  </si>
  <si>
    <t>Déchets bois</t>
  </si>
  <si>
    <t>ADEME</t>
  </si>
  <si>
    <t>service invoice</t>
  </si>
  <si>
    <t>service invoice - France</t>
  </si>
  <si>
    <t>Service</t>
  </si>
  <si>
    <t>Services d'architecture et d'ingénierie/ services de contrôle et analyses techniques - 2019</t>
  </si>
  <si>
    <t>Payroll services (pay slip preparation and subscri</t>
  </si>
  <si>
    <t>Services liés à l'emploi - 2023</t>
  </si>
  <si>
    <t>payroll services</t>
  </si>
  <si>
    <t>payroll services - France</t>
  </si>
  <si>
    <t>payroll processing and subscription services</t>
  </si>
  <si>
    <t>payroll processing and subscription services - Fra</t>
  </si>
  <si>
    <t>professional services - hiring formalities</t>
  </si>
  <si>
    <t>professional services - hiring formalities - Franc</t>
  </si>
  <si>
    <t>Services d'architecture et d'ingénierie/ services de contrôle et analyses techniques - 2020</t>
  </si>
  <si>
    <t>Advance service invoice (SaaS)</t>
  </si>
  <si>
    <t>Advance service invoice (SaaS) - France</t>
  </si>
  <si>
    <t>services - USA</t>
  </si>
  <si>
    <t>design services</t>
  </si>
  <si>
    <t>design services - Canada</t>
  </si>
  <si>
    <t>Services d'architecture et d'ingénierie/ services de contrôle et analyses techniques - 2022</t>
  </si>
  <si>
    <t>service - monthly stipend</t>
  </si>
  <si>
    <t>service - monthly stipend - Nigeria</t>
  </si>
  <si>
    <t>Services d'hébergement et de restauration - 2022</t>
  </si>
  <si>
    <t>professional services</t>
  </si>
  <si>
    <t>professional services - Nigeria</t>
  </si>
  <si>
    <t>services - monthly stipend</t>
  </si>
  <si>
    <t>services - monthly stipend - Nigeria</t>
  </si>
  <si>
    <t>stipend</t>
  </si>
  <si>
    <t>stipend - Nigeria</t>
  </si>
  <si>
    <t>Coke de pétrole</t>
  </si>
  <si>
    <t>services - Nigeria</t>
  </si>
  <si>
    <t>labor services</t>
  </si>
  <si>
    <t>labor/services compensation (salary)</t>
  </si>
  <si>
    <t>labor/services compensation (salary) - Madagascar</t>
  </si>
  <si>
    <t>Services - Consulting</t>
  </si>
  <si>
    <t>Services - Consulting - Switzerland</t>
  </si>
  <si>
    <t>Marketing development services</t>
  </si>
  <si>
    <t>Marketing development services - France</t>
  </si>
  <si>
    <t>Services de publicité et d'études de marché - 2023</t>
  </si>
  <si>
    <t>marketing development services</t>
  </si>
  <si>
    <t>marketing development services - France</t>
  </si>
  <si>
    <t>Professional services - technical leadership / lea</t>
  </si>
  <si>
    <t>professional services - FR</t>
  </si>
  <si>
    <t>Software development and support services</t>
  </si>
  <si>
    <t>Software development and support services - France</t>
  </si>
  <si>
    <t>professional services - France</t>
  </si>
  <si>
    <t>professional services - Canada</t>
  </si>
  <si>
    <t>CAD</t>
  </si>
  <si>
    <t>services - Canada</t>
  </si>
  <si>
    <t>software development and research services</t>
  </si>
  <si>
    <t>software development and research services - Canad</t>
  </si>
  <si>
    <t>Services de recherche et développement scientifique - 2023</t>
  </si>
  <si>
    <t>Custom software development and technical research</t>
  </si>
  <si>
    <t>software development and technical research servic</t>
  </si>
  <si>
    <t>restaurant meal receipt</t>
  </si>
  <si>
    <t>restaurant meal receipt - France</t>
  </si>
  <si>
    <t>business and tech advisory services (reverse charg</t>
  </si>
  <si>
    <t>Entreposage et services auxiliaires des transports - 2019</t>
  </si>
  <si>
    <t>Service - commercial domiciliation annual subscrip</t>
  </si>
  <si>
    <t>coworking desk rental</t>
  </si>
  <si>
    <t>coworking desk rental - France</t>
  </si>
  <si>
    <t>Services d'hébergement et de restauration - 2020</t>
  </si>
  <si>
    <t>Office desk rental</t>
  </si>
  <si>
    <t>Office desk rental - France</t>
  </si>
  <si>
    <t>Bâtiments de bureaux</t>
  </si>
  <si>
    <t>office desk rental</t>
  </si>
  <si>
    <t>office desk rental - France</t>
  </si>
  <si>
    <t>workspace rental</t>
  </si>
  <si>
    <t>workspace rental - France</t>
  </si>
  <si>
    <t>service - coworking/desk rental</t>
  </si>
  <si>
    <t>service - coworking/desk rental - France</t>
  </si>
  <si>
    <t>workspace rental (desks)</t>
  </si>
  <si>
    <t>workspace rental (desks) - France</t>
  </si>
  <si>
    <t>workspace/desk rental</t>
  </si>
  <si>
    <t>workspace/desk rental - France</t>
  </si>
  <si>
    <t>Coworking desk rental</t>
  </si>
  <si>
    <t>Coworking desk rental - France</t>
  </si>
  <si>
    <t>Coworking space rental</t>
  </si>
  <si>
    <t>Coworking space rental - France</t>
  </si>
  <si>
    <t>Coworking space rental/services</t>
  </si>
  <si>
    <t>Coworking space rental/services - France</t>
  </si>
  <si>
    <t>coworking space rental services</t>
  </si>
  <si>
    <t>coworking space rental services - France</t>
  </si>
  <si>
    <t>Coworking desk rental services (February 2024)</t>
  </si>
  <si>
    <t>Coworking desk rental services (February 2024) - F</t>
  </si>
  <si>
    <t>legal services</t>
  </si>
  <si>
    <t>legal services - France</t>
  </si>
  <si>
    <t>legal services - Nigeria</t>
  </si>
  <si>
    <t>Services juridiques et comptables/ services des sièges sociaux/ conseil de gestion - 2022</t>
  </si>
  <si>
    <t>Legal services invoice</t>
  </si>
  <si>
    <t>Legal services invoice - France</t>
  </si>
  <si>
    <t>flight</t>
  </si>
  <si>
    <t>flight - France; United States</t>
  </si>
  <si>
    <t>Avion passagers</t>
  </si>
  <si>
    <t>Ecocalculateur DGAC</t>
  </si>
  <si>
    <t>airline ticket (round trip)</t>
  </si>
  <si>
    <t>airline ticket (round trip) - France</t>
  </si>
  <si>
    <t>Sponsorship services invoice</t>
  </si>
  <si>
    <t>Sponsorship services invoice - United Kingdom</t>
  </si>
  <si>
    <t>GBP</t>
  </si>
  <si>
    <t>telecommunications services</t>
  </si>
  <si>
    <t>telecommunications services - France</t>
  </si>
  <si>
    <t>Services de télécommunications - 2023</t>
  </si>
  <si>
    <t>Telecommunications internet subscription</t>
  </si>
  <si>
    <t>Telecommunications internet subscription - France</t>
  </si>
  <si>
    <t>Services de télécommunications - 2019</t>
  </si>
  <si>
    <t>Telecommunications service invoice</t>
  </si>
  <si>
    <t>Telecommunications service invoice - France</t>
  </si>
  <si>
    <t>train ticket - United Kingdom</t>
  </si>
  <si>
    <t>Train de voyageurs</t>
  </si>
  <si>
    <t>Public transportation receipt</t>
  </si>
  <si>
    <t>Public transportation receipt - United Kingdom</t>
  </si>
  <si>
    <t>travel - rail ticket</t>
  </si>
  <si>
    <t>travel - rail ticket - United Kingdom</t>
  </si>
  <si>
    <t>public transport fare</t>
  </si>
  <si>
    <t>public transport fare - United Kingdom</t>
  </si>
  <si>
    <t>travel - rail</t>
  </si>
  <si>
    <t>travel - rail - United Kingdom</t>
  </si>
  <si>
    <t>internet service</t>
  </si>
  <si>
    <t>internet service - France</t>
  </si>
  <si>
    <t>air travel</t>
  </si>
  <si>
    <t>air travel - France; United Kingdom</t>
  </si>
  <si>
    <t>travel - metro</t>
  </si>
  <si>
    <t>travel - metro - United Kingdom</t>
  </si>
  <si>
    <t>travel - train</t>
  </si>
  <si>
    <t>travel - train - United Kingdom</t>
  </si>
  <si>
    <t>Mobile telecommunications surcharge</t>
  </si>
  <si>
    <t>Mobile telecommunications surcharge - France</t>
  </si>
  <si>
    <t>Internet service</t>
  </si>
  <si>
    <t>Internet service - France</t>
  </si>
  <si>
    <t>event sponsorship</t>
  </si>
  <si>
    <t>event sponsorship - United Kingdom</t>
  </si>
  <si>
    <t>hotel accommodation</t>
  </si>
  <si>
    <t>hotel accommodation - Colombia</t>
  </si>
  <si>
    <t>人民币(Chinese Yuan)</t>
  </si>
  <si>
    <t>travel - airline ticket</t>
  </si>
  <si>
    <t>travel - airline ticket - France; Colombia</t>
  </si>
  <si>
    <t>Agences de voyage, voyagistes, réservations – 2022</t>
  </si>
  <si>
    <t>Service – annual membership (club) including biodi</t>
  </si>
  <si>
    <t>Services sportifs, récréatifs et de loisirs - 2022</t>
  </si>
  <si>
    <t>service - training courses</t>
  </si>
  <si>
    <t>service - training courses - France</t>
  </si>
  <si>
    <t>hotel accommodation - America</t>
  </si>
  <si>
    <t>event exhibitor package (booth and services)</t>
  </si>
  <si>
    <t>event exhibitor package (booth and services) - Fra</t>
  </si>
  <si>
    <t>Ecran publicitaire</t>
  </si>
  <si>
    <t>services - United Kingdom</t>
  </si>
  <si>
    <t>hotel accommodation - city tax</t>
  </si>
  <si>
    <t>hotel reimbursement</t>
  </si>
  <si>
    <t>hotel reimbursement - France</t>
  </si>
  <si>
    <t>expense reimbursement</t>
  </si>
  <si>
    <t>Biométhane</t>
  </si>
  <si>
    <t>Rail ticket</t>
  </si>
  <si>
    <t>Rail ticket - United Kingdom to United Kingdom</t>
  </si>
  <si>
    <t>grocery purchase</t>
  </si>
  <si>
    <t>Train de marchandises</t>
  </si>
  <si>
    <t>airline ticket</t>
  </si>
  <si>
    <t>airline ticket - France; United Kingdom</t>
  </si>
  <si>
    <t>Air travel</t>
  </si>
  <si>
    <t>Air travel - France; United Kingdom</t>
  </si>
  <si>
    <t>travel - taxi</t>
  </si>
  <si>
    <t>travel - taxi - United Kingdom</t>
  </si>
  <si>
    <t>Taxi brousse</t>
  </si>
  <si>
    <t>travel - air</t>
  </si>
  <si>
    <t>travel - air - France; China</t>
  </si>
  <si>
    <t>travel - Italy; Switzerland</t>
  </si>
  <si>
    <t>accommodation</t>
  </si>
  <si>
    <t>accommodation - Italy</t>
  </si>
  <si>
    <t>accommodation - short-term rental (reservation mod</t>
  </si>
  <si>
    <t>goods - bakery pastry</t>
  </si>
  <si>
    <t>goods - bakery pastry - Spain</t>
  </si>
  <si>
    <t>Gâteau basque</t>
  </si>
  <si>
    <t>service receipt</t>
  </si>
  <si>
    <t>retail groceries</t>
  </si>
  <si>
    <t>Commerce de détail, à l'exclusion des automobiles et des motocycles - 2020</t>
  </si>
  <si>
    <t>Public transportation ticket purchase</t>
  </si>
  <si>
    <t>Public transportation ticket purchase - Spain</t>
  </si>
  <si>
    <t>retail purchase</t>
  </si>
  <si>
    <t>Commerce de détail, à l'exclusion des automobiles et des motocycles - 2022</t>
  </si>
  <si>
    <t>restaurant meal</t>
  </si>
  <si>
    <t>restaurant meal - Spain</t>
  </si>
  <si>
    <t>restaurant receipt</t>
  </si>
  <si>
    <t>restaurant receipt - N/A</t>
  </si>
  <si>
    <t>travel - taxi - Spain</t>
  </si>
  <si>
    <t>Agences de voyage, voyagistes, réservations – 2023</t>
  </si>
  <si>
    <t>Food and beverage purchase</t>
  </si>
  <si>
    <t>Montant des achats</t>
  </si>
  <si>
    <t>conference registration fee</t>
  </si>
  <si>
    <t>conference registration fee - Spain</t>
  </si>
  <si>
    <t>grocery retail purchase</t>
  </si>
  <si>
    <t>retail food purchase receipt</t>
  </si>
  <si>
    <t>%</t>
  </si>
  <si>
    <t>event registration</t>
  </si>
  <si>
    <t>event registration - France</t>
  </si>
  <si>
    <t>Déchets minéraux</t>
  </si>
  <si>
    <t>service fee</t>
  </si>
  <si>
    <t>travel - bus - France; Spain</t>
  </si>
  <si>
    <t>travel - bus - Spain, France</t>
  </si>
  <si>
    <t>voucher</t>
  </si>
  <si>
    <t>Fioul à base de carbone recyclé</t>
  </si>
  <si>
    <t>accommodation - Spain</t>
  </si>
  <si>
    <t>hotel accommodation receipt</t>
  </si>
  <si>
    <t>hotel accommodation receipt - France</t>
  </si>
  <si>
    <t>travel - rail - France</t>
  </si>
  <si>
    <t>hotel city tax</t>
  </si>
  <si>
    <t>Services d'hébergement et de restauration - 2019</t>
  </si>
  <si>
    <t>travel - air transport</t>
  </si>
  <si>
    <t>Avion (voyageurs)</t>
  </si>
  <si>
    <t>accommodation - Switzerland</t>
  </si>
  <si>
    <t>guest night(guest night)</t>
  </si>
  <si>
    <t>travel - bus - France</t>
  </si>
  <si>
    <t>mobile telecommunications service (subscription)</t>
  </si>
  <si>
    <t>mobile telecommunications service (subscription) -</t>
  </si>
  <si>
    <t>mobile telecom service invoice</t>
  </si>
  <si>
    <t>mobile telecom service invoice - France</t>
  </si>
  <si>
    <t>Internet and telecom services subscription</t>
  </si>
  <si>
    <t>Internet and telecom services subscription - Franc</t>
  </si>
  <si>
    <t>Services de télécommunications - 2022</t>
  </si>
  <si>
    <t>Telecommunications service subscription</t>
  </si>
  <si>
    <t>Telecommunications service subscription - France</t>
  </si>
  <si>
    <t>telecommunications service subscription (Freebox D</t>
  </si>
  <si>
    <t>month</t>
  </si>
  <si>
    <t>Internet service subscription invoice</t>
  </si>
  <si>
    <t>Internet service subscription invoice - France</t>
  </si>
  <si>
    <t>Telecom fixed internet subscription invoice</t>
  </si>
  <si>
    <t>Telecom fixed internet subscription invoice - Fran</t>
  </si>
  <si>
    <t>Telecom/internet subscription services</t>
  </si>
  <si>
    <t>Telecom/internet subscription services - France</t>
  </si>
  <si>
    <t>Telecommunications services (broadband internet su</t>
  </si>
  <si>
    <t>Telecom internet subscription invoice</t>
  </si>
  <si>
    <t>Telecom internet subscription invoice - France</t>
  </si>
  <si>
    <t>fixed broadband and telecom service subscription</t>
  </si>
  <si>
    <t>fixed broadband and telecom service subscription -</t>
  </si>
  <si>
    <t>employee expense reimbursement - mobile phone char</t>
  </si>
  <si>
    <t>Climatiseur mobile</t>
  </si>
  <si>
    <t>travel - flight</t>
  </si>
  <si>
    <t>telecommunications services (mobile phone surcharg</t>
  </si>
  <si>
    <t>travel - airline flight</t>
  </si>
  <si>
    <t>travel - airline flight - France; United Kingdom</t>
  </si>
  <si>
    <t>internet service subscription</t>
  </si>
  <si>
    <t>internet service subscription - France</t>
  </si>
  <si>
    <t>Mobile telecommunications service invoice</t>
  </si>
  <si>
    <t>Mobile telecommunications service invoice - France</t>
  </si>
  <si>
    <t>Service - account annual maintenance</t>
  </si>
  <si>
    <t>Service - account annual maintenance - United Stat</t>
  </si>
  <si>
    <t>VCS pipeline listing fee</t>
  </si>
  <si>
    <t>VCS pipeline listing fee - United States</t>
  </si>
  <si>
    <t>Combustible haute viscosité (CHV)</t>
  </si>
  <si>
    <t>Hotel lodging</t>
  </si>
  <si>
    <t>Hotel lodging - N/A</t>
  </si>
  <si>
    <t>hotel accommodation - China</t>
  </si>
  <si>
    <t>restaurant receipt - United States</t>
  </si>
  <si>
    <t>Restaurant meal</t>
  </si>
  <si>
    <t>Restaurant meal - France</t>
  </si>
  <si>
    <t>Cloud computing services (Amazon Elastic Compute C</t>
  </si>
  <si>
    <t>software-as-a-service subscription licenses</t>
  </si>
  <si>
    <t>software-as-a-service subscription licenses - Fran</t>
  </si>
  <si>
    <t>service - club membership including biodiversity c</t>
  </si>
  <si>
    <t>Services sportifs, récréatifs et de loisirs - 2023</t>
  </si>
  <si>
    <t>software subscription services</t>
  </si>
  <si>
    <t>software subscription services - Ireland</t>
  </si>
  <si>
    <t>Equipment lease (laptop)</t>
  </si>
  <si>
    <t>EUR/month</t>
  </si>
  <si>
    <t>software subscription (prorated additional user)</t>
  </si>
  <si>
    <t>software subscription (prorated additional user) -</t>
  </si>
  <si>
    <t>SaaS subscription proration</t>
  </si>
  <si>
    <t>SaaS subscription proration - United States</t>
  </si>
  <si>
    <t>Autres services spécialisés, scientifiques et techniques - 2023</t>
  </si>
  <si>
    <t>Software subscription</t>
  </si>
  <si>
    <t>Software subscription - United States</t>
  </si>
  <si>
    <t>SaaS subscription (speech transcription service)</t>
  </si>
  <si>
    <t>SaaS subscription (speech transcription service) -</t>
  </si>
  <si>
    <t>Autres services spécialisés, scientifiques et techniques - 2019</t>
  </si>
  <si>
    <t>equipment purchase</t>
  </si>
  <si>
    <t>equipment purchase - France</t>
  </si>
  <si>
    <t>Machines et équipements - 2023</t>
  </si>
  <si>
    <t xml:space="preserve">service - software development (R&amp;D and technical </t>
  </si>
  <si>
    <t>Professional services invoice - UI/UX design, UX r</t>
  </si>
  <si>
    <t>professional services - presentation design</t>
  </si>
  <si>
    <t>professional services - presentation design - Ukra</t>
  </si>
  <si>
    <t>分母单位/活动数据单位</t>
  </si>
  <si>
    <t>全氟化碳</t>
  </si>
  <si>
    <t>GHG类型</t>
  </si>
  <si>
    <t>数据类别</t>
  </si>
  <si>
    <t>因子类别</t>
  </si>
  <si>
    <t>员工</t>
  </si>
  <si>
    <t>t(t)</t>
  </si>
  <si>
    <t>HFC-134a</t>
  </si>
  <si>
    <t>PFC-14</t>
  </si>
  <si>
    <t>范围一，固定燃烧 Stationary combustion</t>
  </si>
  <si>
    <t>自动连续测量 automatic continuous measurement</t>
  </si>
  <si>
    <t>国际排放因子 International emission factors</t>
  </si>
  <si>
    <t>{{#fe: list2 t.id}}</t>
  </si>
  <si>
    <t>kg(kg)</t>
  </si>
  <si>
    <t>HFC-23</t>
  </si>
  <si>
    <t>PFC-116</t>
  </si>
  <si>
    <t>范围一，移动燃烧 Mobile combustion</t>
  </si>
  <si>
    <t>km(km)</t>
  </si>
  <si>
    <t>HFC-32</t>
  </si>
  <si>
    <t>PFC-218</t>
  </si>
  <si>
    <t>范围一，工艺过程 Industrial process</t>
  </si>
  <si>
    <t>自行推估 estimate</t>
  </si>
  <si>
    <t>区域排放因子 Regional emission factors</t>
  </si>
  <si>
    <t>m(m)</t>
  </si>
  <si>
    <t>HFC-41</t>
  </si>
  <si>
    <t>PFC-C-318</t>
  </si>
  <si>
    <t>范围一，无组织排放 Fugitive emission</t>
  </si>
  <si>
    <t>制造厂排放因子 Manufacturing plant emission factors</t>
  </si>
  <si>
    <t>g(g)</t>
  </si>
  <si>
    <t>HFC-125</t>
  </si>
  <si>
    <t>PFC-31-10</t>
  </si>
  <si>
    <t>范围一，碳封存 Carbon sequestration</t>
  </si>
  <si>
    <t>制程/设备经验系数 Process/equipment experience factor</t>
  </si>
  <si>
    <t>m³(m³)</t>
  </si>
  <si>
    <t>HFC-134</t>
  </si>
  <si>
    <t>PFC-41-12</t>
  </si>
  <si>
    <t>范围二，电力 Electricity</t>
  </si>
  <si>
    <t>测量/物料平衡系数 Measurement/mass balance factor</t>
  </si>
  <si>
    <t>GJ(GJ)</t>
  </si>
  <si>
    <t>HFC-143</t>
  </si>
  <si>
    <t>PFC-51-14</t>
  </si>
  <si>
    <t>范围二，蒸汽 Steam</t>
  </si>
  <si>
    <t>公顷(hectare)</t>
  </si>
  <si>
    <t>HFC-143a</t>
  </si>
  <si>
    <t>PFC-61-16</t>
  </si>
  <si>
    <t>范围二，压缩空气 Compressed air</t>
  </si>
  <si>
    <t>㎡(㎡)</t>
  </si>
  <si>
    <t>HFC-152</t>
  </si>
  <si>
    <t>PFC-71-18</t>
  </si>
  <si>
    <t>范围二，冷 Cooling</t>
  </si>
  <si>
    <t>瓶(bottle)</t>
  </si>
  <si>
    <t>HFC-152a</t>
  </si>
  <si>
    <t>PFC-91-18</t>
  </si>
  <si>
    <t>范围二，热 Heat</t>
  </si>
  <si>
    <t>日(day)</t>
  </si>
  <si>
    <t>HFC-161</t>
  </si>
  <si>
    <t>Z-C10F18</t>
  </si>
  <si>
    <t>HFC-227ca</t>
  </si>
  <si>
    <t>E-C10F18</t>
  </si>
  <si>
    <t>范围三，类别2：资本商品 Capital goods</t>
  </si>
  <si>
    <t>人次(times)</t>
  </si>
  <si>
    <t>HFC-227ea</t>
  </si>
  <si>
    <t>Pentadecafluorotriethylamine</t>
  </si>
  <si>
    <t>范围三，类别3：燃料和能源相关活动 Fuel- and energy-related activities (not included in scope 1 or scope 2)</t>
  </si>
  <si>
    <t>加仑(gallon)</t>
  </si>
  <si>
    <t>HFC-236cb</t>
  </si>
  <si>
    <t>Perfluorotripropylamine</t>
  </si>
  <si>
    <t>范围三，类别4：上游运输和配送 Upstream transportation and distribution</t>
  </si>
  <si>
    <t>短吨(Short tons)</t>
  </si>
  <si>
    <t>HFC-236ea</t>
  </si>
  <si>
    <t>Heptacosafluorotributylamine</t>
  </si>
  <si>
    <t>范围三，类别5：运营中产生的废弃物 Waste generated in operations</t>
  </si>
  <si>
    <t>磅(pound)</t>
  </si>
  <si>
    <t>HFC-236fa</t>
  </si>
  <si>
    <t>Perfluorotripentylamine</t>
  </si>
  <si>
    <t>盎司(ounce)</t>
  </si>
  <si>
    <t>HFC-245ca</t>
  </si>
  <si>
    <t>Heptafluoroisobutyronitrile</t>
  </si>
  <si>
    <t>范围三，类别7：雇员通勤 Employee commuting</t>
  </si>
  <si>
    <t>mg(mg)</t>
  </si>
  <si>
    <t>HFC-245cb</t>
  </si>
  <si>
    <t>Trifluromethylsulfur pentafluoride</t>
  </si>
  <si>
    <t>范围三，类别8：上游租赁资产 Upstream leased assets</t>
  </si>
  <si>
    <t>μg(μg)</t>
  </si>
  <si>
    <t>HFC-245ea</t>
  </si>
  <si>
    <t>Sulfuryl fluoride</t>
  </si>
  <si>
    <t>范围三，类别9：售出产品的运输和配送 Downstream transportation and distribution</t>
  </si>
  <si>
    <t>cm(cm)</t>
  </si>
  <si>
    <t>HFC-245eb</t>
  </si>
  <si>
    <t>Hexafluorocyclobutene</t>
  </si>
  <si>
    <t>范围三，类别10：售出产品的加工 Processing of sold products</t>
  </si>
  <si>
    <t>mm(mm)</t>
  </si>
  <si>
    <t>HFC-245fa</t>
  </si>
  <si>
    <t>Octafluorocyclopentene</t>
  </si>
  <si>
    <t>范围三，类别11：售出产品的使用 Use of sold products</t>
  </si>
  <si>
    <t>英里(mile)</t>
  </si>
  <si>
    <t>HFC-263fb</t>
  </si>
  <si>
    <t>Octafluoro-2-buene</t>
  </si>
  <si>
    <t>范围三，类别12：处理寿命终止的售出产品 End-of-life treatment of sold products</t>
  </si>
  <si>
    <t>英寸(inch)</t>
  </si>
  <si>
    <t>HFC-272ca</t>
  </si>
  <si>
    <t>范围三，类别13：下游租赁资产 Downstream leased assets</t>
  </si>
  <si>
    <t>海里(Nautical mile)</t>
  </si>
  <si>
    <t>HFC-329p</t>
  </si>
  <si>
    <t>范围三，类别14：特许经营权 Franchises</t>
  </si>
  <si>
    <t>光年(Light-year)</t>
  </si>
  <si>
    <t>HFC-365mfc</t>
  </si>
  <si>
    <t>范围三，类别15：投资 Investments</t>
  </si>
  <si>
    <t>L(L)</t>
  </si>
  <si>
    <t>HFC-43-10mee</t>
  </si>
  <si>
    <t>ml(ml)</t>
  </si>
  <si>
    <t>HFO-1234ze</t>
  </si>
  <si>
    <t>长吨(Long ton)</t>
  </si>
  <si>
    <t>HFO-1234yf</t>
  </si>
  <si>
    <t>立方英尺(Cubic feet)</t>
  </si>
  <si>
    <t>HFO-1336mzz</t>
  </si>
  <si>
    <t>kJ(kJ)</t>
  </si>
  <si>
    <t>HFO-1336mzz(Z)</t>
  </si>
  <si>
    <t>MJ(MJ)</t>
  </si>
  <si>
    <t>C5F6Cl4</t>
  </si>
  <si>
    <t>TJ(TJ)</t>
  </si>
  <si>
    <t>C5H3F7</t>
  </si>
  <si>
    <t>kWh(kWh)</t>
  </si>
  <si>
    <t>heptafluorocyclopentene</t>
  </si>
  <si>
    <t>kW(kW)</t>
  </si>
  <si>
    <t>octafluorocyclopentane</t>
  </si>
  <si>
    <t>卡(cal)</t>
  </si>
  <si>
    <t>HFO-1438ezy</t>
  </si>
  <si>
    <t>千卡(kcal)</t>
  </si>
  <si>
    <t>HFO-1447fz</t>
  </si>
  <si>
    <t>km²(km²)</t>
  </si>
  <si>
    <t>pentafluorocyclobutene</t>
  </si>
  <si>
    <t>亩(Square meter)</t>
  </si>
  <si>
    <t>tetrafluorocyclobutene</t>
  </si>
  <si>
    <t>英亩(Acre)</t>
  </si>
  <si>
    <t>年(Year)</t>
  </si>
  <si>
    <t>月(Month)</t>
  </si>
  <si>
    <t>小时(Hour)</t>
  </si>
  <si>
    <t>分钟(Minute)</t>
  </si>
  <si>
    <t>秒(Second)</t>
  </si>
  <si>
    <t>日元(Yen)</t>
  </si>
  <si>
    <t>英镑(Pound sterling)</t>
  </si>
  <si>
    <t>元(Yuan)</t>
  </si>
  <si>
    <t>吨标煤(Tons of standard coal)</t>
  </si>
  <si>
    <t>tkm(tkm)</t>
  </si>
  <si>
    <t>m²h(m²h)</t>
  </si>
  <si>
    <t>延吨公里(Ton-Kilometer)</t>
  </si>
  <si>
    <t>延人公里(Passenger‑Kilometer)</t>
  </si>
  <si>
    <t>每房每晚(Per room per night)</t>
  </si>
  <si>
    <t>重量箱(Weight box)</t>
  </si>
  <si>
    <t>架(frame)</t>
  </si>
  <si>
    <t>张(sheet)</t>
  </si>
  <si>
    <t>人(person)</t>
  </si>
  <si>
    <t>包(pack)</t>
  </si>
  <si>
    <t>台(platform)</t>
  </si>
  <si>
    <t>个(piece)</t>
  </si>
  <si>
    <t>支(branch)</t>
  </si>
  <si>
    <t>封(envelope)</t>
  </si>
  <si>
    <t>本(root)</t>
  </si>
  <si>
    <t>户(household)</t>
  </si>
  <si>
    <t>座(seat)</t>
  </si>
  <si>
    <t>件(piece)</t>
  </si>
  <si>
    <t>次(times)</t>
  </si>
  <si>
    <t>颗(cube)</t>
  </si>
  <si>
    <t>片(slice)</t>
  </si>
  <si>
    <t>盒(box)</t>
  </si>
  <si>
    <t>袋(bag)</t>
  </si>
  <si>
    <t>双(pair)</t>
  </si>
  <si>
    <t>块(block)</t>
  </si>
  <si>
    <t>桶(bucket)</t>
  </si>
  <si>
    <t>条(article)</t>
  </si>
  <si>
    <t>粒(grain)</t>
  </si>
  <si>
    <t>卷(volume)</t>
  </si>
  <si>
    <t>罐(can)</t>
  </si>
  <si>
    <t>组(group)</t>
  </si>
  <si>
    <t>箱(box)</t>
  </si>
  <si>
    <t>晚(late)</t>
  </si>
  <si>
    <t>头(head)</t>
  </si>
  <si>
    <t>部(division)</t>
  </si>
  <si>
    <t>EA(EA)</t>
  </si>
  <si>
    <t>千日元(Thousand yen)</t>
  </si>
  <si>
    <t>枚(pieces)</t>
  </si>
  <si>
    <t>杯(cup)</t>
  </si>
  <si>
    <t>株(root)</t>
  </si>
  <si>
    <t>对(pair)</t>
  </si>
  <si>
    <t>重(weigh)</t>
  </si>
  <si>
    <t>MWh(MWh)</t>
  </si>
  <si>
    <t>吨公里(Ton-Kilometer)</t>
  </si>
  <si>
    <t>m³蓄积量(m³ Volume)</t>
  </si>
  <si>
    <t>kg玻璃液(kg of Washer fluid)</t>
  </si>
  <si>
    <t>万本(10,000 copies)</t>
  </si>
  <si>
    <t>万Nm³(10,000 Nm³)</t>
  </si>
  <si>
    <t>kgm(kgm)</t>
  </si>
  <si>
    <t>kgkm(kgkm)</t>
  </si>
  <si>
    <t>dm(dm)</t>
  </si>
  <si>
    <t>W(W)</t>
  </si>
  <si>
    <t>米制马力(Metric horsepower)</t>
  </si>
  <si>
    <t>J(J)</t>
  </si>
  <si>
    <t>kL(kL)</t>
  </si>
  <si>
    <t>标准煤(Standard coal)</t>
  </si>
  <si>
    <t>人公里(Passenger-kilometre)</t>
  </si>
  <si>
    <t>万人次(10,000 people)</t>
  </si>
  <si>
    <t>万人公里(10,000 km)</t>
  </si>
  <si>
    <t>万元(10,000 yuan)</t>
  </si>
  <si>
    <t>综合业务量(Comprehensive business volume)</t>
  </si>
  <si>
    <t>GB(GB)</t>
  </si>
  <si>
    <t>公顷每年(hectares per year)</t>
  </si>
  <si>
    <t>人英里(People miles)</t>
  </si>
  <si>
    <t>TB(TB)</t>
  </si>
  <si>
    <t>把(handle)</t>
  </si>
  <si>
    <t>百万换算吨公里(Million to tonne-kilometres)</t>
  </si>
  <si>
    <t>吨农产品(Tons of agricultural products)</t>
  </si>
  <si>
    <t>吨英里(Tons of miles)</t>
  </si>
  <si>
    <t>辆(vehicle)</t>
  </si>
  <si>
    <t>美吨(US tons)</t>
  </si>
  <si>
    <t>千克奶制品(kg of dairy products)</t>
  </si>
  <si>
    <t>扇(fan)</t>
  </si>
  <si>
    <t>万吨(10,000 tons)</t>
  </si>
  <si>
    <t>万公顷(10,000 hectares)</t>
  </si>
  <si>
    <t>万头每年(10,000 heads per year)</t>
  </si>
  <si>
    <t>亿立方米(billion cubic meters)</t>
  </si>
  <si>
    <t>笔(pen)</t>
  </si>
  <si>
    <t>度(degree)</t>
  </si>
  <si>
    <t>百万日元(million yen)</t>
  </si>
  <si>
    <t>百万英热(million British thermal)</t>
  </si>
  <si>
    <t>兆吨(megaton)</t>
  </si>
  <si>
    <t>份(portion)</t>
  </si>
  <si>
    <t>千米核(Kilometer core)</t>
  </si>
  <si>
    <t>每人每小时(Per person per hour)</t>
  </si>
  <si>
    <t>每平方米每小时(Per square meter per hour)</t>
  </si>
  <si>
    <t>每平方米每年(Per square meter per year)</t>
  </si>
  <si>
    <t>Nm³(Nm³)</t>
  </si>
  <si>
    <t>TB每年(TB per year)</t>
  </si>
  <si>
    <t>百万kWh(million kWh)</t>
  </si>
  <si>
    <t>公秉(kiloliter)</t>
  </si>
  <si>
    <t>每头每年(Per head per year)</t>
  </si>
  <si>
    <t>每个每年(Per year)</t>
  </si>
  <si>
    <t>每平方米每天(Per square meter per day)</t>
  </si>
  <si>
    <t>千㎡(Thousand square meters)</t>
  </si>
  <si>
    <t>千Nm³(Thousand Nm³)</t>
  </si>
  <si>
    <t>千m³(Thousand m³)</t>
  </si>
  <si>
    <t>千个(Thousands)</t>
  </si>
  <si>
    <t>千双(Thousand pairs)</t>
  </si>
  <si>
    <t>千吨(kiloton)</t>
  </si>
  <si>
    <t>千本(Thousand books)</t>
  </si>
  <si>
    <t>千袋(Thousand bags)</t>
  </si>
  <si>
    <t>每人每年(Per person per year)</t>
  </si>
  <si>
    <t>人天(Per person per day)</t>
  </si>
  <si>
    <t>亿Nm³(billion Nm³)</t>
  </si>
  <si>
    <t>单元(unit)</t>
  </si>
  <si>
    <t>千克每天(kg per day)</t>
  </si>
  <si>
    <t>套(sets)</t>
  </si>
  <si>
    <t>站(stop)</t>
  </si>
  <si>
    <t>港元(Hong Kong dollar)</t>
  </si>
  <si>
    <t>LTO(LTO)</t>
  </si>
  <si>
    <t>万立方米(10,000 cubic meters)</t>
  </si>
  <si>
    <t>每米每年(Per meter per year)</t>
  </si>
  <si>
    <t>每公里每年(Per kilometer per year)</t>
  </si>
  <si>
    <t>unit(unit)</t>
  </si>
  <si>
    <t>ha(ha)</t>
  </si>
  <si>
    <t>hour(hour)</t>
  </si>
  <si>
    <t>kg*day(kg*day)</t>
  </si>
  <si>
    <t>m*year(m*year)</t>
  </si>
  <si>
    <t>km*year(km*year)</t>
  </si>
  <si>
    <t>m2*year(m2*year)</t>
  </si>
  <si>
    <t>metric ton*km(metric ton*km)</t>
  </si>
  <si>
    <t>person*km(person*km)</t>
  </si>
  <si>
    <t>Flora::710</t>
  </si>
  <si>
    <t>alexander::1000000484978776</t>
  </si>
  <si>
    <t>mia::1000000057879074</t>
  </si>
  <si>
    <t>Christoph::1000000358698175</t>
  </si>
  <si>
    <t>huhao::1000001092837025</t>
  </si>
  <si>
    <t>HH::1000000535089728</t>
  </si>
  <si>
    <t>Maria Antoineta::1000001369523041</t>
  </si>
  <si>
    <t>dahlia::1000000155989694</t>
  </si>
  <si>
    <t>test account::1000000238830355</t>
  </si>
  <si>
    <t>EAST::1000000840540988</t>
  </si>
  <si>
    <t>Amber Li::1000001713877652</t>
  </si>
  <si>
    <t>Jingxiao He::1000000459118162</t>
  </si>
  <si>
    <t>ljx::1000001794852887</t>
  </si>
  <si>
    <t>Source file</t>
  </si>
  <si>
    <t>Invoice type</t>
  </si>
  <si>
    <t>Detected category</t>
  </si>
  <si>
    <t>Activity data (raw)</t>
  </si>
  <si>
    <t>Unit (raw)</t>
  </si>
  <si>
    <t>Location</t>
  </si>
  <si>
    <t>Date</t>
  </si>
  <si>
    <t>Route / Mode</t>
  </si>
  <si>
    <t>ECB rate</t>
  </si>
  <si>
    <t>Rate source</t>
  </si>
  <si>
    <t>Rate URL</t>
  </si>
  <si>
    <t>Selected factor row</t>
  </si>
  <si>
    <t>Selected factor name</t>
  </si>
  <si>
    <t>Selected factor unit</t>
  </si>
  <si>
    <t>Selected similarity</t>
  </si>
  <si>
    <t>LLM rationale</t>
  </si>
  <si>
    <t>LLM notes</t>
  </si>
  <si>
    <t>Alt candidates</t>
  </si>
  <si>
    <t>Activity notes</t>
  </si>
  <si>
    <t>Factor metadata</t>
  </si>
  <si>
    <t>Conversion ratio</t>
  </si>
  <si>
    <t>Factor value</t>
  </si>
  <si>
    <t>Calculated emissions (kgCO2e)</t>
  </si>
  <si>
    <t>Review required</t>
  </si>
  <si>
    <t>Assurances/Alan 20241201 - Facture Sante pour DT MASTER CARBON.pdf</t>
  </si>
  <si>
    <t>insurance</t>
  </si>
  <si>
    <t>157.500</t>
  </si>
  <si>
    <t>EUR</t>
  </si>
  <si>
    <t>France</t>
  </si>
  <si>
    <t>2025-01-02</t>
  </si>
  <si>
    <t>ECB reference rate</t>
  </si>
  <si>
    <t>https://www.ecb.europa.eu/stats/policy_and_exchange_rates/euro_reference_exchange_rates/html/index.en.html</t>
  </si>
  <si>
    <t>kgCO2e/keuro (2022) HT</t>
  </si>
  <si>
    <t>480: Assurance, réassurance, retraites (hors sécurité sociale) – 2019 (sim=0.481)
481: Assurance, réassurance, retraites (hors sécurité sociale) – 2020 (sim=0.480)
484: Assurance, réassurance, retraites (hors sécurité sociale) – 2023 (sim=0.480)
482: Assurance, réassurance, retraites (hors sécurité sociale) – 2021 (sim=0.480)</t>
  </si>
  <si>
    <t>Unit mismatch: invoice=欧元(Euro), factor=keuro (2022) HT</t>
  </si>
  <si>
    <t>Factor: Assurance, réassurance, retraites (hors sécurité sociale) – 2022; Category: Achats de services &gt; Ratios monétaires; Contributor: SDES/INSEE; CO2e: 81.0; Unit: kgCO2e/keuro (2022) HT</t>
  </si>
  <si>
    <t>No</t>
  </si>
  <si>
    <t>Assurances/contrat dt master carbon.pdf</t>
  </si>
  <si>
    <t>real_estate</t>
  </si>
  <si>
    <t>50.900</t>
  </si>
  <si>
    <t>15/07/2024</t>
  </si>
  <si>
    <t>kgCO2e/keuro (2023) HT</t>
  </si>
  <si>
    <t>16233: Services de réparation d'ordinateurs et de biens personnels et domestiques - 2019 (sim=0.339)
16236: Services de réparation d'ordinateurs et de biens personnels et domestiques - 2022 (sim=0.339)
16234: Services de réparation d'ordinateurs et de biens personnels et domestiques - 2020 (sim=0.338)
16235: Services de réparation d'ordinateurs et de biens personnels et domestiques - 2021 (sim=0.337)</t>
  </si>
  <si>
    <t>Unit mismatch: invoice=欧元(Euro), factor=keuro (2023) HT</t>
  </si>
  <si>
    <t>Factor: Services de réparation d'ordinateurs et de biens personnels et domestiques - 2023; Category: Achats de services &gt; Ratios monétaires; Contributor: SDES/INSEE; CO2e: 158.0; Unit: kgCO2e/keuro (2023) HT</t>
  </si>
  <si>
    <t>Assurances/DT Master Carbon SAS Statement.pdf</t>
  </si>
  <si>
    <t>it_services</t>
  </si>
  <si>
    <t>1389.960</t>
  </si>
  <si>
    <t>Ireland</t>
  </si>
  <si>
    <t>11/23/2024</t>
  </si>
  <si>
    <t>13116: Programmation, conseil IT / Services d'information – 2019 (sim=0.449)
13117: Programmation, conseil IT / Services d'information – 2020 (sim=0.448)
13119: Programmation, conseil IT / Services d'information – 2022 (sim=0.448)
592: Autres services spécialisés, scientifiques et techniques - 2023 (sim=0.338)</t>
  </si>
  <si>
    <t>Factor: Programmation, conseil IT / Services d'information – 2023; Category: Achats de services &gt; Ratios monétaires; Contributor: SDES/INSEE; CO2e: 75.0; Unit: kgCO2e/keuro (2023) HT</t>
  </si>
  <si>
    <t>Assurances/EUINFR24-469156.pdf</t>
  </si>
  <si>
    <t>70.490</t>
  </si>
  <si>
    <t>USD</t>
  </si>
  <si>
    <t>2024-04-03</t>
  </si>
  <si>
    <t>kgCO2e/keuro (2020) HT</t>
  </si>
  <si>
    <t>13117: Programmation, conseil IT / Services d'information – 2020 (sim=0.455)
13120: Programmation, conseil IT / Services d'information – 2023 (sim=0.454)
13119: Programmation, conseil IT / Services d'information – 2022 (sim=0.453)
13116: Programmation, conseil IT / Services d'information – 2019 (sim=0.452)</t>
  </si>
  <si>
    <t>Unit mismatch: invoice=美元(US Dollar), factor=keuro (2020) HT</t>
  </si>
  <si>
    <t>Factor: Programmation, conseil IT / Services d'information – 2020; Category: Achats de services &gt; Ratios monétaires; Contributor: SDES/INSEE; CO2e: 74.0; Unit: kgCO2e/keuro (2020) HT</t>
  </si>
  <si>
    <t>Assurances/Facture_Adhesion24_DTMasterCarbon_F-24-09-21.pdf</t>
  </si>
  <si>
    <t>2024-09-19 00:00:00</t>
  </si>
  <si>
    <t>16206: Services d'architecture et d'ingénierie/ services de contrôle et analyses techniques - 2022 (sim=0.383)
16207: Services d'architecture et d'ingénierie/ services de contrôle et analyses techniques - 2023 (sim=0.383)
16203: Services d'architecture et d'ingénierie/ services de contrôle et analyses techniques - 2019 (sim=0.382)
16204: Services d'architecture et d'ingénierie/ services de contrôle et analyses techniques - 2020 (sim=0.382)</t>
  </si>
  <si>
    <t>Assurances/Invoice-3D9C0472-0001.pdf</t>
  </si>
  <si>
    <t>United States</t>
  </si>
  <si>
    <t>June 11, 2024</t>
  </si>
  <si>
    <t>13120: Programmation, conseil IT / Services d'information – 2023 (sim=0.430)
16233: Services de réparation d'ordinateurs et de biens personnels et domestiques - 2019 (sim=0.323)
16236: Services de réparation d'ordinateurs et de biens personnels et domestiques - 2022 (sim=0.322)
16234: Services de réparation d'ordinateurs et de biens personnels et domestiques - 2020 (sim=0.321)</t>
  </si>
  <si>
    <t>Unit mismatch: invoice=美元(US Dollar), factor=keuro (2023) HT</t>
  </si>
  <si>
    <t>Assurances/Invoice-3D9C0472-0002.pdf</t>
  </si>
  <si>
    <t>2024-06-26</t>
  </si>
  <si>
    <t>13120: Programmation, conseil IT / Services d'information – 2023 (sim=0.422)
13116: Programmation, conseil IT / Services d'information – 2019 (sim=0.422)
13119: Programmation, conseil IT / Services d'information – 2022 (sim=0.422)
13118: Programmation, conseil IT / Services d'information – 2021 (sim=0.419)</t>
  </si>
  <si>
    <t>Assurances/Invoice-3D9C0472-0003.pdf</t>
  </si>
  <si>
    <t>2024-07-02</t>
  </si>
  <si>
    <t>kgCO2e/unité</t>
  </si>
  <si>
    <t>16162: Service (sim=0.537)
16185: Service (sim=0.535)
31: 1 achat sur le web (sim=0.439)
16782: Taux d'occupation moyen des voitures (sim=0.289)</t>
  </si>
  <si>
    <t>Unit mismatch: invoice=美元(US Dollar), factor=unité</t>
  </si>
  <si>
    <t>Factor: 1 achat sur le web; Category: Achats de services &gt; Autres services; Contributor: ADEME; CO2e: 0.755; Unit: kgCO2e/unité</t>
  </si>
  <si>
    <t>Assurances/Invoice-3D9C0472-0004.pdf</t>
  </si>
  <si>
    <t>50.970</t>
  </si>
  <si>
    <t>2024-07-11</t>
  </si>
  <si>
    <t>13117: Programmation, conseil IT / Services d'information – 2020 (sim=0.441)
13119: Programmation, conseil IT / Services d'information – 2022 (sim=0.441)
13116: Programmation, conseil IT / Services d'information – 2019 (sim=0.440)
13118: Programmation, conseil IT / Services d'information – 2021 (sim=0.438)</t>
  </si>
  <si>
    <t>Assurances/Invoice-3D9C0472-0005.pdf</t>
  </si>
  <si>
    <t>August 2, 2024</t>
  </si>
  <si>
    <t>13117: Programmation, conseil IT / Services d'information – 2020 (sim=0.437)
13116: Programmation, conseil IT / Services d'information – 2019 (sim=0.436)
13119: Programmation, conseil IT / Services d'information – 2022 (sim=0.436)
13118: Programmation, conseil IT / Services d'information – 2021 (sim=0.434)</t>
  </si>
  <si>
    <t>Assurances/Invoice-3D9C0472-0006.pdf</t>
  </si>
  <si>
    <t>118.930</t>
  </si>
  <si>
    <t>2024-08-11</t>
  </si>
  <si>
    <t>13117: Programmation, conseil IT / Services d'information – 2020 (sim=0.439)
13119: Programmation, conseil IT / Services d'information – 2022 (sim=0.439)
13116: Programmation, conseil IT / Services d'information – 2019 (sim=0.439)
13118: Programmation, conseil IT / Services d'information – 2021 (sim=0.437)</t>
  </si>
  <si>
    <t>Finance/Levee/2406-F-2024-DT-MASTER-CARBON-001-XQ-CONSULTING.pdf</t>
  </si>
  <si>
    <t>12750.000</t>
  </si>
  <si>
    <t>2024-06-11</t>
  </si>
  <si>
    <t>16207: Services d'architecture et d'ingénierie/ services de contrôle et analyses techniques - 2023 (sim=0.391)
16203: Services d'architecture et d'ingénierie/ services de contrôle et analyses techniques - 2019 (sim=0.390)
16204: Services d'architecture et d'ingénierie/ services de contrôle et analyses techniques - 2020 (sim=0.390)
16206: Services d'architecture et d'ingénierie/ services de contrôle et analyses techniques - 2022 (sim=0.389)</t>
  </si>
  <si>
    <t>Factor: Services d'architecture et d'ingénierie/ services de contrôle et analyses techniques - 2023; Category: Achats de services &gt; Ratios monétaires; Contributor: SDES/INSEE; CO2e: 102.0; Unit: kgCO2e/keuro (2023) HT</t>
  </si>
  <si>
    <t>Finance/Numbr/Note_459488.pdf</t>
  </si>
  <si>
    <t>legal_services</t>
  </si>
  <si>
    <t>119.000</t>
  </si>
  <si>
    <t>2024-03-22</t>
  </si>
  <si>
    <t>16278: Services juridiques et comptables/ services des sièges sociaux/ conseil de gestion - 2019 (sim=0.505)
16279: Services juridiques et comptables/ services des sièges sociaux/ conseil de gestion - 2020 (sim=0.504)
16281: Services juridiques et comptables/ services des sièges sociaux/ conseil de gestion - 2022 (sim=0.504)
16280: Services juridiques et comptables/ services des sièges sociaux/ conseil de gestion - 2021 (sim=0.503)</t>
  </si>
  <si>
    <t>Factor: Services juridiques et comptables/ services des sièges sociaux/ conseil de gestion - 2023; Category: Achats de services &gt; Ratios monétaires; Contributor: SDES/INSEE; CO2e: 67.0; Unit: kgCO2e/keuro (2023) HT</t>
  </si>
  <si>
    <t>Finance/Numbr/Note_459489.pdf</t>
  </si>
  <si>
    <t>01/04/2024</t>
  </si>
  <si>
    <t>Finance/Numbr/Note_459926.pdf</t>
  </si>
  <si>
    <t>2024-05-01</t>
  </si>
  <si>
    <t>kgCO2e/keuro (2019) HT</t>
  </si>
  <si>
    <t>16282: Services juridiques et comptables/ services des sièges sociaux/ conseil de gestion - 2023 (sim=0.480)
16279: Services juridiques et comptables/ services des sièges sociaux/ conseil de gestion - 2020 (sim=0.480)
16281: Services juridiques et comptables/ services des sièges sociaux/ conseil de gestion - 2022 (sim=0.479)
16280: Services juridiques et comptables/ services des sièges sociaux/ conseil de gestion - 2021 (sim=0.479)</t>
  </si>
  <si>
    <t>Unit mismatch: invoice=欧元(Euro), factor=keuro (2019) HT</t>
  </si>
  <si>
    <t>Factor: Services juridiques et comptables/ services des sièges sociaux/ conseil de gestion - 2019; Category: Achats de services &gt; Ratios monétaires; Contributor: SDES/INSEE; CO2e: 72.0; Unit: kgCO2e/keuro (2019) HT</t>
  </si>
  <si>
    <t>Finance/Numbr/Note_464871 (1).pdf</t>
  </si>
  <si>
    <t>professional services (accounting services retainer)</t>
  </si>
  <si>
    <t>2024-06-01</t>
  </si>
  <si>
    <t>16281: Services juridiques et comptables/ services des sièges sociaux/ conseil de gestion - 2022 (sim=0.485)
16278: Services juridiques et comptables/ services des sièges sociaux/ conseil de gestion - 2019 (sim=0.485)
16279: Services juridiques et comptables/ services des sièges sociaux/ conseil de gestion - 2020 (sim=0.484)
16280: Services juridiques et comptables/ services des sièges sociaux/ conseil de gestion - 2021 (sim=0.483)</t>
  </si>
  <si>
    <t>Finance/Numbr/numbr (2).pdf</t>
  </si>
  <si>
    <t>2024-07-01</t>
  </si>
  <si>
    <t>16282: Services juridiques et comptables/ services des sièges sociaux/ conseil de gestion - 2023 (sim=0.487)
16279: Services juridiques et comptables/ services des sièges sociaux/ conseil de gestion - 2020 (sim=0.486)
16281: Services juridiques et comptables/ services des sièges sociaux/ conseil de gestion - 2022 (sim=0.486)
16280: Services juridiques et comptables/ services des sièges sociaux/ conseil de gestion - 2021 (sim=0.485)</t>
  </si>
  <si>
    <t>Finance/Storen/Facture-DT MASTER CARBON-STOREN INNOVATION-F-202405-00377.pdf</t>
  </si>
  <si>
    <t>2024-05-31</t>
  </si>
  <si>
    <t>16204: Services d'architecture et d'ingénierie/ services de contrôle et analyses techniques - 2020 (sim=0.380)
16203: Services d'architecture et d'ingénierie/ services de contrôle et analyses techniques - 2019 (sim=0.380)
16206: Services d'architecture et d'ingénierie/ services de contrôle et analyses techniques - 2022 (sim=0.379)
16205: Services d'architecture et d'ingénierie/ services de contrôle et analyses techniques - 2021 (sim=0.377)</t>
  </si>
  <si>
    <t>HR/Cotisations/DSN_02_2024.pdf</t>
  </si>
  <si>
    <t>0.000</t>
  </si>
  <si>
    <t>2024-05-14</t>
  </si>
  <si>
    <t>16198: Services d'administration publique et de défense/ services de sécurité sociale obligatoire - 2019 (sim=0.482)
16199: Services d'administration publique et de défense/ services de sécurité sociale obligatoire - 2020 (sim=0.481)
16202: Services d'administration publique et de défense/ services de sécurité sociale obligatoire - 2023 (sim=0.480)
16200: Services d'administration publique et de défense/ services de sécurité sociale obligatoire - 2021 (sim=0.479)</t>
  </si>
  <si>
    <t>Factor: Services d'administration publique et de défense/ services de sécurité sociale obligatoire - 2022; Category: Achats de services &gt; Ratios monétaires; Contributor: SDES/INSEE; CO2e: 90.0; Unit: kgCO2e/keuro (2022) HT</t>
  </si>
  <si>
    <t>HR/Cotisations/DSN_03_2024.pdf</t>
  </si>
  <si>
    <t>4.000</t>
  </si>
  <si>
    <t>16198: Services d'administration publique et de défense/ services de sécurité sociale obligatoire - 2019 (sim=0.486)
16199: Services d'administration publique et de défense/ services de sécurité sociale obligatoire - 2020 (sim=0.485)
16202: Services d'administration publique et de défense/ services de sécurité sociale obligatoire - 2023 (sim=0.485)
16200: Services d'administration publique et de défense/ services de sécurité sociale obligatoire - 2021 (sim=0.484)</t>
  </si>
  <si>
    <t>HR/Cotisations/DSN_04_2024.pdf</t>
  </si>
  <si>
    <t>16198: Services d'administration publique et de défense/ services de sécurité sociale obligatoire - 2019 (sim=0.469)
16199: Services d'administration publique et de défense/ services de sécurité sociale obligatoire - 2020 (sim=0.468)
16202: Services d'administration publique et de défense/ services de sécurité sociale obligatoire - 2023 (sim=0.468)
16200: Services d'administration publique et de défense/ services de sécurité sociale obligatoire - 2021 (sim=0.467)</t>
  </si>
  <si>
    <t>HR/Cotisations/DSN_05_2024.pdf</t>
  </si>
  <si>
    <t>URSSAF social security contributions (DSN) payment statement</t>
  </si>
  <si>
    <t>2024-05-13</t>
  </si>
  <si>
    <t>16198: Services d'administration publique et de défense/ services de sécurité sociale obligatoire - 2019 (sim=0.457)
16199: Services d'administration publique et de défense/ services de sécurité sociale obligatoire - 2020 (sim=0.456)
16202: Services d'administration publique et de défense/ services de sécurité sociale obligatoire - 2023 (sim=0.455)
16200: Services d'administration publique et de défense/ services de sécurité sociale obligatoire - 2021 (sim=0.454)</t>
  </si>
  <si>
    <t>HR/Cotisations/DSN_06_2024.pdf</t>
  </si>
  <si>
    <t>4141.970</t>
  </si>
  <si>
    <t>2024-05-24</t>
  </si>
  <si>
    <t>16198: Services d'administration publique et de défense/ services de sécurité sociale obligatoire - 2019 (sim=0.467)
16266: Services financiers, hors assurances et caisses de retraite - 2022 (sim=0.467)
16199: Services d'administration publique et de défense/ services de sécurité sociale obligatoire - 2020 (sim=0.467)
16202: Services d'administration publique et de défense/ services de sécurité sociale obligatoire - 2023 (sim=0.466)</t>
  </si>
  <si>
    <t>HR/Cotisations/DSN_07_2024 (1).pdf</t>
  </si>
  <si>
    <t>Payroll social contributions and withholding tax declaration</t>
  </si>
  <si>
    <t>6675.710</t>
  </si>
  <si>
    <t>2024-06-30</t>
  </si>
  <si>
    <t>16198: Services d'administration publique et de défense/ services de sécurité sociale obligatoire - 2019 (sim=0.485)
16202: Services d'administration publique et de défense/ services de sécurité sociale obligatoire - 2023 (sim=0.484)
16199: Services d'administration publique et de défense/ services de sécurité sociale obligatoire - 2020 (sim=0.484)
16267: Services financiers, hors assurances et caisses de retraite - 2023 (sim=0.483)</t>
  </si>
  <si>
    <t>HR/Deplacement/2024/FLEXIBUS EXPENSES/Invoice-3213220825.pdf</t>
  </si>
  <si>
    <t>transportation_bus</t>
  </si>
  <si>
    <t>0.820</t>
  </si>
  <si>
    <t>2024-11-26</t>
  </si>
  <si>
    <t>Bus</t>
  </si>
  <si>
    <t>kgCO2e/passager.km</t>
  </si>
  <si>
    <t>531: Autobus moyen (sim=0.729)
489: Autobus (sim=0.728)
537: Autobus moyen (sim=0.727)
534: Autobus moyen (sim=0.726)</t>
  </si>
  <si>
    <t>Unit mismatch: invoice=欧元(Euro), factor=passager.km</t>
  </si>
  <si>
    <t>Factor: Autobus moyen; Category: Transport de personnes &gt; Routier &gt; Autobus - Autocar &gt; Moyenne (Parc) - Toutes motorisations; Source: UTP - Enquête TCU 2017; CO2e: 147.0; Unit: kgCO2e/passager.km</t>
  </si>
  <si>
    <t>HR/Deplacement/2024/FLEXIBUS EXPENSES/INVOICEFLEXIBUS BASSEY ALEXANDER (2).pdf</t>
  </si>
  <si>
    <t>16.630</t>
  </si>
  <si>
    <t>France; Spain</t>
  </si>
  <si>
    <t>2024-11-27</t>
  </si>
  <si>
    <t>Bus / Economy</t>
  </si>
  <si>
    <t>489: Autobus (sim=0.732)
531: Autobus moyen (sim=0.731)
498: Autobus (sim=0.729)
537: Autobus moyen (sim=0.728)</t>
  </si>
  <si>
    <t>HR/Deplacement/2024/FLEXIBUS EXPENSES/INVOICEFLEXIBUS BASSEY ALEXANDER.pdf</t>
  </si>
  <si>
    <t>489: Autobus (sim=0.755)
498: Autobus (sim=0.751)
495: Autobus (sim=0.751)
501: Autobus (sim=0.749)</t>
  </si>
  <si>
    <t>Factor: Autobus; Category: Transport de personnes &gt; Routier &gt; Archive (Valeurs obsolètes) &gt; Transport en commun &gt; Autobus - Autocar &gt; Moyenne (Parc + neuf) - Toutes motorisations (archives); Contributor: ADEME; CO2e: 167.0; Unit: kgCO2e/passager.km</t>
  </si>
  <si>
    <t>HR/Deplacement/2024/FLEXIBUS EXPENSES/Ticket-Biarritz-Bilbao-3213221552 (1).pdf</t>
  </si>
  <si>
    <t>10.480</t>
  </si>
  <si>
    <t>2024-11-30</t>
  </si>
  <si>
    <t>Bus / Adult seat (5B)</t>
  </si>
  <si>
    <t>489: Autobus (sim=0.745)
531: Autobus moyen (sim=0.744)
537: Autobus moyen (sim=0.742)
498: Autobus (sim=0.742)</t>
  </si>
  <si>
    <t>HR/Deplacement/2024/FLEXIBUS EXPENSES/Ticket-Bilbao-Biarritz-3213218692 (1).pdf</t>
  </si>
  <si>
    <t>9.480</t>
  </si>
  <si>
    <t>Spain; France</t>
  </si>
  <si>
    <t>bus / Standard Class</t>
  </si>
  <si>
    <t>489: Autobus (sim=0.753)
531: Autobus moyen (sim=0.752)
537: Autobus moyen (sim=0.752)
2809: Burger au poulet (sim=0.389)</t>
  </si>
  <si>
    <t>HR/Deplacement/2024/FLEXIBUS EXPENSES/Voucher-3213218692.pdf</t>
  </si>
  <si>
    <t>Not detected</t>
  </si>
  <si>
    <t>4.250</t>
  </si>
  <si>
    <t>Germany</t>
  </si>
  <si>
    <t>kgCO2e/kWh</t>
  </si>
  <si>
    <t>2093: Biométhane (sim=0.473)
14504: Réseau de chaleur (sim=0.473)
2094: Biométhane (sim=0.470)
2095: Biométhane (sim=0.470)</t>
  </si>
  <si>
    <t>Unit mismatch: invoice=欧元(Euro), factor=kWh</t>
  </si>
  <si>
    <t>Factor: Réseau de chaleur; Category: Réseaux de chaleur / froid &gt; Alsace; Contributor: ADEME; CO2e: 15.0; Unit: kgCO2e/kWh</t>
  </si>
  <si>
    <t>HR/Deplacement/2024/Navigo année 2024 (Jingxiao)/attestation.pdf</t>
  </si>
  <si>
    <t>2025-01-10</t>
  </si>
  <si>
    <t>public transport / Standard Class</t>
  </si>
  <si>
    <t>11138: Métro, tramway, trolleybus (sim=0.790)
11144: Métro, tramway, trolleybus (sim=0.789)
11147: Métro, tramway, trolleybus (sim=0.788)
11108: Métro (sim=0.661)</t>
  </si>
  <si>
    <t>Factor: Métro, tramway, trolleybus; Category: Transport de personnes &gt; Ferroviaire &gt; France continentale &gt; Métro, tramway (autres villes); Contributor: ADEME; CO2e: 0.681; Unit: kgCO2e/passager.km</t>
  </si>
  <si>
    <t>HR/Deplacement/2024/Navigo Aout 24/Navigo Christophe Aout.pdf</t>
  </si>
  <si>
    <t>33.030</t>
  </si>
  <si>
    <t>05/09/2024</t>
  </si>
  <si>
    <t>Public transport (metro/RER/bus/tram) / Standard Class</t>
  </si>
  <si>
    <t>11138: Métro, tramway, trolleybus (sim=0.777)
11144: Métro, tramway, trolleybus (sim=0.775)
11147: Métro, tramway, trolleybus (sim=0.774)
11108: Métro (sim=0.647)</t>
  </si>
  <si>
    <t>HR/Deplacement/2024/Navigo Dec 24/Mariya-Navigo-Dec.pdf</t>
  </si>
  <si>
    <t>2024-12-01</t>
  </si>
  <si>
    <t>Standard Class</t>
  </si>
  <si>
    <t>11141: Métro, tramway, trolleybus (sim=0.641)
11138: Métro, tramway, trolleybus (sim=0.640)
11144: Métro, tramway, trolleybus (sim=0.637)
11147: Métro, tramway, trolleybus (sim=0.636)</t>
  </si>
  <si>
    <t>Factor: Métro; Category: Transport de personnes &gt; Ferroviaire &gt; France continentale &gt; Métro, tramway, RER, transilien (Ile de France); Contributor: ADEME; CO2e: 0.57; Unit: kgCO2e/passager.km</t>
  </si>
  <si>
    <t>HR/Deplacement/2024/Navigo Dec 24/Navigo Christophe DEC.pdf</t>
  </si>
  <si>
    <t>48.750</t>
  </si>
  <si>
    <t>2025-01-06</t>
  </si>
  <si>
    <t>Metro/Train/RER; Bus/Tram/Noctilien / Standard Class</t>
  </si>
  <si>
    <t>11138: Métro, tramway, trolleybus (sim=0.795)
11144: Métro, tramway, trolleybus (sim=0.793)
11147: Métro, tramway, trolleybus (sim=0.792)
11108: Métro (sim=0.663)</t>
  </si>
  <si>
    <t>HR/Deplacement/2024/Navigo Dec 24/Navigo Victor Dec.pdf</t>
  </si>
  <si>
    <t>2024-12-04</t>
  </si>
  <si>
    <t>public transit / Standard Class</t>
  </si>
  <si>
    <t>11138: Métro, tramway, trolleybus (sim=0.642)
11144: Métro, tramway, trolleybus (sim=0.639)
11108: Métro (sim=0.638)
11147: Métro, tramway, trolleybus (sim=0.638)</t>
  </si>
  <si>
    <t>HR/Deplacement/2024/Navigo Dec 24/Toni_Navigo_decembre.pdf</t>
  </si>
  <si>
    <t>78.550</t>
  </si>
  <si>
    <t>Public transit / Standard Class</t>
  </si>
  <si>
    <t>11138: Métro, tramway, trolleybus (sim=0.641)
11108: Métro (sim=0.638)
11144: Métro, tramway, trolleybus (sim=0.638)
11147: Métro, tramway, trolleybus (sim=0.637)</t>
  </si>
  <si>
    <t>HR/Deplacement/2024/Navigo July 24/Navigo Christophe Juil.pdf</t>
  </si>
  <si>
    <t>2024-08-05</t>
  </si>
  <si>
    <t>Public transit (RER/Metro/Bus/Tram) / Standard Class</t>
  </si>
  <si>
    <t>11138: Métro, tramway, trolleybus (sim=0.780)
11144: Métro, tramway, trolleybus (sim=0.778)
11147: Métro, tramway, trolleybus (sim=0.777)
11108: Métro (sim=0.649)</t>
  </si>
  <si>
    <t>HR/Deplacement/2024/Navigo nov 24/Navigo Christophe Nov.pdf</t>
  </si>
  <si>
    <t>62.910</t>
  </si>
  <si>
    <t>2024-12-05</t>
  </si>
  <si>
    <t>Urban public transport (metro/train/RER/bus/tram) / Standard Class</t>
  </si>
  <si>
    <t>11138: Métro, tramway, trolleybus (sim=0.788)
11144: Métro, tramway, trolleybus (sim=0.785)
11147: Métro, tramway, trolleybus (sim=0.785)
11108: Métro (sim=0.657)</t>
  </si>
  <si>
    <t>HR/Deplacement/2024/Navigo nov 24/navigo Mariya nov.pdf</t>
  </si>
  <si>
    <t>2024-11-01</t>
  </si>
  <si>
    <t>11138: Métro, tramway, trolleybus (sim=0.652)
11144: Métro, tramway, trolleybus (sim=0.649)
11108: Métro (sim=0.648)
11147: Métro, tramway, trolleybus (sim=0.648)</t>
  </si>
  <si>
    <t>HR/Deplacement/2024/Navigo nov 24/Navigo Toni Nov.pdf</t>
  </si>
  <si>
    <t>2024-11-04</t>
  </si>
  <si>
    <t>11138: Métro, tramway, trolleybus (sim=0.640)
11108: Métro (sim=0.638)
11144: Métro, tramway, trolleybus (sim=0.638)
11147: Métro, tramway, trolleybus (sim=0.637)</t>
  </si>
  <si>
    <t>HR/Deplacement/2024/Navigo nov 24/Navigo Victor Nov.pdf</t>
  </si>
  <si>
    <t>urban public transport / Standard Class</t>
  </si>
  <si>
    <t>11138: Métro, tramway, trolleybus (sim=0.787)
11144: Métro, tramway, trolleybus (sim=0.784)
11147: Métro, tramway, trolleybus (sim=0.783)
11108: Métro (sim=0.657)</t>
  </si>
  <si>
    <t>HR/Deplacement/2024/Navigo nov 24/SNCFLEHAVRECCERF.pdf</t>
  </si>
  <si>
    <t>35.818</t>
  </si>
  <si>
    <t>France to France</t>
  </si>
  <si>
    <t>2024-11-02</t>
  </si>
  <si>
    <t>Train / Second class</t>
  </si>
  <si>
    <t>kgCO2e/km</t>
  </si>
  <si>
    <t>17088: TGV, Train Grande Vitesse (sim=0.573)
17524: Train de voyageurs (sim=0.570)
17518: Train de voyageurs (sim=0.569)
17532: Train de voyageurs (sim=0.569)</t>
  </si>
  <si>
    <t>Unit mismatch: invoice=欧元(Euro), factor=km</t>
  </si>
  <si>
    <t>Factor: TGV, Train Grande Vitesse; Category: Transport de personnes &gt; Ferroviaire &gt; France continentale &gt; TGV; Contributor: ADEME; CO2e: 105.0; Unit: kgCO2e/km</t>
  </si>
  <si>
    <t>HR/Deplacement/2024/Navigo Oct 24/Navigo Christophe Oct.pdf</t>
  </si>
  <si>
    <t>42.460</t>
  </si>
  <si>
    <t>2024-11-05</t>
  </si>
  <si>
    <t>Metro/RER/Bus/Tram / Standard Class</t>
  </si>
  <si>
    <t>11138: Métro, tramway, trolleybus (sim=0.782)
11144: Métro, tramway, trolleybus (sim=0.779)
11147: Métro, tramway, trolleybus (sim=0.778)
11108: Métro (sim=0.649)</t>
  </si>
  <si>
    <t>HR/Deplacement/2024/Navigo Oct 24/Navigo Toni Oct.pdf</t>
  </si>
  <si>
    <t>2024-10-01</t>
  </si>
  <si>
    <t>11138: Métro, tramway, trolleybus (sim=0.640)
11144: Métro, tramway, trolleybus (sim=0.637)
11147: Métro, tramway, trolleybus (sim=0.636)
11108: Métro (sim=0.636)</t>
  </si>
  <si>
    <t>HR/Deplacement/2024/Navigo Oct 24/Navigo Victor OCT.pdf</t>
  </si>
  <si>
    <t>HR/Deplacement/2024/Navigo Sept 24/Mariya-Navigo-Sept.pdf</t>
  </si>
  <si>
    <t>2024-08-31</t>
  </si>
  <si>
    <t>HR/Deplacement/2024/Navigo Sept 24/Navigo Christophe Sept.pdf</t>
  </si>
  <si>
    <t>66.050</t>
  </si>
  <si>
    <t>2024-10-07</t>
  </si>
  <si>
    <t>RER/metro/bus/tram / Standard Class</t>
  </si>
  <si>
    <t>11138: Métro, tramway, trolleybus (sim=0.781)
11144: Métro, tramway, trolleybus (sim=0.779)
11147: Métro, tramway, trolleybus (sim=0.778)
11108: Métro (sim=0.647)</t>
  </si>
  <si>
    <t>HR/Deplacement/2024/Navigo Sept 24/Navigo Victor SEPT.pdf</t>
  </si>
  <si>
    <t>2024-09-01</t>
  </si>
  <si>
    <t>HR/Deplacement/Navigo JAN 25/Mariya-Navigo-Jan2025.pdf</t>
  </si>
  <si>
    <t>80.730</t>
  </si>
  <si>
    <t>2025-01-08</t>
  </si>
  <si>
    <t>11138: Métro, tramway, trolleybus (sim=0.650)
11144: Métro, tramway, trolleybus (sim=0.647)
11147: Métro, tramway, trolleybus (sim=0.646)
11108: Métro (sim=0.645)</t>
  </si>
  <si>
    <t>HR/Deplacement/Navigo JAN 25/Navigo Victor JAN.pdf</t>
  </si>
  <si>
    <t>2025-01-13</t>
  </si>
  <si>
    <t>Public transport / Standard Class</t>
  </si>
  <si>
    <t>11138: Métro, tramway, trolleybus (sim=0.785)
11144: Métro, tramway, trolleybus (sim=0.783)
11147: Métro, tramway, trolleybus (sim=0.783)
11108: Métro (sim=0.659)</t>
  </si>
  <si>
    <t>HR/Formation/Christophe/EU-145001.pdf</t>
  </si>
  <si>
    <t>666.670</t>
  </si>
  <si>
    <t>2024-04-18</t>
  </si>
  <si>
    <t>kg de fluide / m²</t>
  </si>
  <si>
    <t>13543: Réfrigération sur lieu de vente (sim=0.529)
13545: Réfrigération sur lieu de vente (sim=0.528)
13550: Réfrigération sur lieu de vente (sim=0.528)
13548: Réfrigération sur lieu de vente (sim=0.527)</t>
  </si>
  <si>
    <t>Unit mismatch: invoice=欧元(Euro), factor= m²</t>
  </si>
  <si>
    <t>Factor: Réfrigération sur lieu de vente; Category: Process et émissions fugitives &gt; Réfrigération et climatisation &gt; Réfrigération &gt; Commerciale; Contributor: ADEME; CO2e: 65.0; Unit: kg de fluide / m²</t>
  </si>
  <si>
    <t>HR/Formation/Christophe/IMG_1841 (1).jpg</t>
  </si>
  <si>
    <t>47.727</t>
  </si>
  <si>
    <t>2024-06-20</t>
  </si>
  <si>
    <t>16208: Services d'hébergement et de restauration - 2019 (sim=0.527)
16211: Services d'hébergement et de restauration - 2022 (sim=0.527)
16209: Services d'hébergement et de restauration - 2020 (sim=0.526)
16210: Services d'hébergement et de restauration - 2021 (sim=0.525)</t>
  </si>
  <si>
    <t>Factor: Services d'hébergement et de restauration - 2023; Category: Achats de services &gt; Ratios monétaires; Contributor: SDES/INSEE; CO2e: 250.0; Unit: kgCO2e/keuro (2023) HT</t>
  </si>
  <si>
    <t>HR/Formation/Entreprise/FACT-20240507-03026.pdf</t>
  </si>
  <si>
    <t>160.000</t>
  </si>
  <si>
    <t>2024-05-07</t>
  </si>
  <si>
    <t>16207: Services d'architecture et d'ingénierie/ services de contrôle et analyses techniques - 2023 (sim=0.413)
16203: Services d'architecture et d'ingénierie/ services de contrôle et analyses techniques - 2019 (sim=0.412)
16204: Services d'architecture et d'ingénierie/ services de contrôle et analyses techniques - 2020 (sim=0.412)
16206: Services d'architecture et d'ingénierie/ services de contrôle et analyses techniques - 2022 (sim=0.411)</t>
  </si>
  <si>
    <t>HR/Formation/Jingxiao/Complétez_l’enveloppe_avec_Docusign__Convoca.pdf</t>
  </si>
  <si>
    <t>education</t>
  </si>
  <si>
    <t>14.000</t>
  </si>
  <si>
    <t>2024-06-04</t>
  </si>
  <si>
    <t>kgCO2e/t.km</t>
  </si>
  <si>
    <t>17340: Train (sim=0.400)
17344: Train (sim=0.365)
17336: Train (sim=0.363)
17400: Train (sim=0.363)</t>
  </si>
  <si>
    <t>Unit mismatch: invoice=hour, factor=t.km</t>
  </si>
  <si>
    <t>Factor: Train; Category: Transport de marchandises &gt; Ferroviaire &gt; France continentale &gt; Moyen; Contributor: ADEME; CO2e: 102.0; Unit: kgCO2e/t.km</t>
  </si>
  <si>
    <t>HR/Formation/Jingxiao/FACTURE_FormationGBS_JingxiaoHe_DTMASTERCARBON_F-24-06-48.pdf</t>
  </si>
  <si>
    <t>8800.000</t>
  </si>
  <si>
    <t>7561: Entreposage et services auxiliaires des transports - 2019 (sim=0.388)
7565: Entreposage et services auxiliaires des transports - 2023 (sim=0.388)
17344: Train (sim=0.353)
17336: Train (sim=0.352)</t>
  </si>
  <si>
    <t>Factor: Entreposage et services auxiliaires des transports - 2022; Category: Achats de services &gt; Ratios monétaires; Contributor: SDES/INSEE; CO2e: 131.0; Unit: kgCO2e/keuro (2022) HT</t>
  </si>
  <si>
    <t>HR/Formation/Jingxiao/Proforma_Adhesion24_DTmasterCarbon_B-24-07-9.pdf</t>
  </si>
  <si>
    <t>16182: Service (sim=0.612)
16207: Services d'architecture et d'ingénierie/ services de contrôle et analyses techniques - 2023 (sim=0.608)
16206: Services d'architecture et d'ingénierie/ services de contrôle et analyses techniques - 2022 (sim=0.605)
16204: Services d'architecture et d'ingénierie/ services de contrôle et analyses techniques - 2020 (sim=0.605)</t>
  </si>
  <si>
    <t>HR/Formation/Mia/invoice_Nov.pdf</t>
  </si>
  <si>
    <t>2829.290</t>
  </si>
  <si>
    <t>18/11/2024</t>
  </si>
  <si>
    <t>16216: Services de l'enseignement - 2022 (sim=0.505)
16217: Services de l'enseignement - 2023 (sim=0.504)
16214: Services de l'enseignement - 2020 (sim=0.502)
16213: Services de l'enseignement - 2019 (sim=0.501)</t>
  </si>
  <si>
    <t>Unit mismatch: invoice=美元(US Dollar), factor=keuro (2022) HT</t>
  </si>
  <si>
    <t>Factor: Services de l'enseignement - 2022; Category: Achats de services &gt; Ratios monétaires; Contributor: SDES/INSEE; CO2e: 75.0; Unit: kgCO2e/keuro (2022) HT</t>
  </si>
  <si>
    <t>HR/Formation/Mia/Receipt - Mia chen - SEPO - INS SL Oct.pdf</t>
  </si>
  <si>
    <t>Singapore</t>
  </si>
  <si>
    <t>2024-10-15</t>
  </si>
  <si>
    <t>16216: Services de l'enseignement - 2022 (sim=0.423)
16214: Services de l'enseignement - 2020 (sim=0.419)
16215: Services de l'enseignement - 2021 (sim=0.418)
16213: Services de l'enseignement - 2019 (sim=0.418)</t>
  </si>
  <si>
    <t>Factor: Services de l'enseignement - 2023; Category: Achats de services &gt; Ratios monétaires; Contributor: SDES/INSEE; CO2e: 66.0; Unit: kgCO2e/keuro (2023) HT</t>
  </si>
  <si>
    <t>HR/Formation/Mia/Receipt- Mia chen - SEPO - INS SL sep.pdf</t>
  </si>
  <si>
    <t>4700.000</t>
  </si>
  <si>
    <t>2024-09-17</t>
  </si>
  <si>
    <t>16216: Services de l'enseignement - 2022 (sim=0.430)
16159: Service (sim=0.427)
16214: Services de l'enseignement - 2020 (sim=0.426)
16215: Services de l'enseignement - 2021 (sim=0.424)</t>
  </si>
  <si>
    <t>HR/Formation/Nassim/invoice TE-2023-10403.pdf</t>
  </si>
  <si>
    <t>1500.000</t>
  </si>
  <si>
    <t>15/12/2023</t>
  </si>
  <si>
    <t>17336: Train (sim=0.321)
17352: Train (sim=0.320)
17458: Train de marchandises (sim=0.319)
17534: Train de voyageurs (sim=0.318)</t>
  </si>
  <si>
    <t>Unit mismatch: invoice=欧元(Euro), factor=t.km</t>
  </si>
  <si>
    <t>Factor: Train; Category: Transport de marchandises &gt; Ferroviaire &gt; France continentale &gt; Moyen; Source: EcoTransit; CO2e: 124.0; Unit: kgCO2e/t.km</t>
  </si>
  <si>
    <t>HR/frais apy paie/apy paie formalité.pdf</t>
  </si>
  <si>
    <t>11/04/2024</t>
  </si>
  <si>
    <t>kgCO2e/kWh PCI</t>
  </si>
  <si>
    <t>4711: Déchets bois (sim=0.581)
4713: Déchets bois (sim=0.581)
4714: Déchets bois (sim=0.581)
4704: Déchets bois (sim=0.580)</t>
  </si>
  <si>
    <t>Unit mismatch: invoice=欧元(Euro), factor=kWh PCI</t>
  </si>
  <si>
    <t>Factor: Déchets bois; Category: Combustibles &gt; Organiques &gt; Solides; Contributor: ADEME; Source: ADEME; CO2e: 0.0; Unit: kgCO2e/kWh PCI</t>
  </si>
  <si>
    <t>HR/frais apy paie/APY_PAIE.pdf</t>
  </si>
  <si>
    <t>25/05/2024</t>
  </si>
  <si>
    <t>16181: Service (sim=0.561)
16160: Service (sim=0.557)
16207: Services d'architecture et d'ingénierie/ services de contrôle et analyses techniques - 2023 (sim=0.552)
16162: Service (sim=0.552)</t>
  </si>
  <si>
    <t>HR/frais apy paie/Note_181601 (1).pdf</t>
  </si>
  <si>
    <t>249.000</t>
  </si>
  <si>
    <t>kgCO2e/keuro</t>
  </si>
  <si>
    <t>16182: Service (sim=0.614)
16162: Service (sim=0.604)
16176: Service (sim=0.602)
16187: Service (sim=0.601)</t>
  </si>
  <si>
    <t>Converted from EUR to k€; Selected factor is monetary or lacks activity denominator; review.</t>
  </si>
  <si>
    <t>Factor: Service; Category: Achats de services &gt; Ratios monétaires; Contributor: ADEME; CO2e: 170.0; Unit: kgCO2e/keuro</t>
  </si>
  <si>
    <t>HR/frais apy paie/Note_185187.pdf</t>
  </si>
  <si>
    <t>27/04/2024</t>
  </si>
  <si>
    <t>16203: Services d'architecture et d'ingénierie/ services de contrôle et analyses techniques - 2019 (sim=0.414)
16207: Services d'architecture et d'ingénierie/ services de contrôle et analyses techniques - 2023 (sim=0.413)
16204: Services d'architecture et d'ingénierie/ services de contrôle et analyses techniques - 2020 (sim=0.413)
16206: Services d'architecture et d'ingénierie/ services de contrôle et analyses techniques - 2022 (sim=0.412)</t>
  </si>
  <si>
    <t>Factor: Services d'architecture et d'ingénierie/ services de contrôle et analyses techniques - 2019; Category: Achats de services &gt; Ratios monétaires; Contributor: SDES/INSEE; CO2e: 106.0; Unit: kgCO2e/keuro (2019) HT</t>
  </si>
  <si>
    <t>HR/frais apy paie/Note_185188.pdf</t>
  </si>
  <si>
    <t>Payroll services (pay slip preparation and subscription)</t>
  </si>
  <si>
    <t>29.800</t>
  </si>
  <si>
    <t>2024-04-27</t>
  </si>
  <si>
    <t>16283: Services liés à l'emploi - 2019 (sim=0.357)
16286: Services liés à l'emploi - 2022 (sim=0.357)
16284: Services liés à l'emploi - 2020 (sim=0.357)
16285: Services liés à l'emploi - 2021 (sim=0.355)</t>
  </si>
  <si>
    <t>Factor: Services liés à l'emploi - 2023; Category: Achats de services &gt; Ratios monétaires; Contributor: SDES/INSEE; CO2e: 41.0; Unit: kgCO2e/keuro (2023) HT</t>
  </si>
  <si>
    <t>HR/frais apy paie/Note_185189.pdf</t>
  </si>
  <si>
    <t>16283: Services liés à l'emploi - 2019 (sim=0.383)
16284: Services liés à l'emploi - 2020 (sim=0.383)
16286: Services liés à l'emploi - 2022 (sim=0.382)
16285: Services liés à l'emploi - 2021 (sim=0.380)</t>
  </si>
  <si>
    <t>HR/frais apy paie/Note_185190.pdf</t>
  </si>
  <si>
    <t>16283: Services liés à l'emploi - 2019 (sim=0.377)
16282: Services juridiques et comptables/ services des sièges sociaux/ conseil de gestion - 2023 (sim=0.377)
16286: Services liés à l'emploi - 2022 (sim=0.377)
16284: Services liés à l'emploi - 2020 (sim=0.376)</t>
  </si>
  <si>
    <t>HR/frais apy paie/Note_186724.pdf</t>
  </si>
  <si>
    <t>90.000</t>
  </si>
  <si>
    <t>11/05/2024</t>
  </si>
  <si>
    <t>16207: Services d'architecture et d'ingénierie/ services de contrôle et analyses techniques - 2023 (sim=0.381)
16286: Services liés à l'emploi - 2022 (sim=0.381)
16284: Services liés à l'emploi - 2020 (sim=0.381)
16206: Services d'architecture et d'ingénierie/ services de contrôle et analyses techniques - 2022 (sim=0.381)</t>
  </si>
  <si>
    <t>HR/Freelance/Abigail/Invoice - 01 (3).pdf</t>
  </si>
  <si>
    <t>1250.000</t>
  </si>
  <si>
    <t>16207: Services d'architecture et d'ingénierie/ services de contrôle et analyses techniques - 2023 (sim=0.389)
16204: Services d'architecture et d'ingénierie/ services de contrôle et analyses techniques - 2020 (sim=0.388)
16203: Services d'architecture et d'ingénierie/ services de contrôle et analyses techniques - 2019 (sim=0.388)
16206: Services d'architecture et d'ingénierie/ services de contrôle et analyses techniques - 2022 (sim=0.388)</t>
  </si>
  <si>
    <t>HR/Freelance/Abigail/Invoice - 02.pdf</t>
  </si>
  <si>
    <t>2024-07-26</t>
  </si>
  <si>
    <t>16204: Services d'architecture et d'ingénierie/ services de contrôle et analyses techniques - 2020 (sim=0.395)
16206: Services d'architecture et d'ingénierie/ services de contrôle et analyses techniques - 2022 (sim=0.395)
16207: Services d'architecture et d'ingénierie/ services de contrôle et analyses techniques - 2023 (sim=0.395)
16203: Services d'architecture et d'ingénierie/ services de contrôle et analyses techniques - 2019 (sim=0.395)</t>
  </si>
  <si>
    <t>No numeric activity provided; defaulted to 1.0; Unit mismatch: invoice=美元(US Dollar), factor=keuro (2020) HT</t>
  </si>
  <si>
    <t>Factor: Services d'architecture et d'ingénierie/ services de contrôle et analyses techniques - 2020; Category: Achats de services &gt; Ratios monétaires; Contributor: SDES/INSEE; CO2e: 103.0; Unit: kgCO2e/keuro (2020) HT</t>
  </si>
  <si>
    <t>HR/Freelance/Christophe/Christophe Paie.pdf</t>
  </si>
  <si>
    <t>11000.000</t>
  </si>
  <si>
    <t>2024-04-05</t>
  </si>
  <si>
    <t>16203: Services d'architecture et d'ingénierie/ services de contrôle et analyses techniques - 2019 (sim=0.360)
16207: Services d'architecture et d'ingénierie/ services de contrôle et analyses techniques - 2023 (sim=0.360)
16204: Services d'architecture et d'ingénierie/ services de contrôle et analyses techniques - 2020 (sim=0.360)
16206: Services d'architecture et d'ingénierie/ services de contrôle et analyses techniques - 2022 (sim=0.360)</t>
  </si>
  <si>
    <t>HR/Freelance/Johnny/Oct INVOICE_1002_from_Qlay Technologies, Inc_ (1).pdf</t>
  </si>
  <si>
    <t>USA</t>
  </si>
  <si>
    <t>16203: Services d'architecture et d'ingénierie/ services de contrôle et analyses techniques - 2019 (sim=0.380)
16204: Services d'architecture et d'ingénierie/ services de contrôle et analyses techniques - 2020 (sim=0.380)
16207: Services d'architecture et d'ingénierie/ services de contrôle et analyses techniques - 2023 (sim=0.379)
16206: Services d'architecture et d'ingénierie/ services de contrôle et analyses techniques - 2022 (sim=0.379)</t>
  </si>
  <si>
    <t>Unit mismatch: invoice=美元(US Dollar), factor=keuro (2019) HT</t>
  </si>
  <si>
    <t>HR/Freelance/Li An/Invoice CBP-1 (1).pdf</t>
  </si>
  <si>
    <t>1890.000</t>
  </si>
  <si>
    <t>Canada</t>
  </si>
  <si>
    <t>2024-11-15</t>
  </si>
  <si>
    <t>16207: Services d'architecture et d'ingénierie/ services de contrôle et analyses techniques - 2023 (sim=0.354)
16204: Services d'architecture et d'ingénierie/ services de contrôle et analyses techniques - 2020 (sim=0.354)
16203: Services d'architecture et d'ingénierie/ services de contrôle et analyses techniques - 2019 (sim=0.354)
16205: Services d'architecture et d'ingénierie/ services de contrôle et analyses techniques - 2021 (sim=0.352)</t>
  </si>
  <si>
    <t>Factor: Services d'architecture et d'ingénierie/ services de contrôle et analyses techniques - 2022; Category: Achats de services &gt; Ratios monétaires; Contributor: SDES/INSEE; CO2e: 110.0; Unit: kgCO2e/keuro (2022) HT</t>
  </si>
  <si>
    <t>HR/Freelance/Michael/DTMINV-August24.pdf</t>
  </si>
  <si>
    <t>600.000 EUR</t>
  </si>
  <si>
    <t>Nigeria</t>
  </si>
  <si>
    <t>2024-09-03</t>
  </si>
  <si>
    <t>16148: Service (sim=0.445)
16159: Service (sim=0.443)
16209: Services d'hébergement et de restauration - 2020 (sim=0.442)
16212: Services d'hébergement et de restauration - 2023 (sim=0.442)</t>
  </si>
  <si>
    <t>No numeric activity provided; defaulted to 1.0; Unit mismatch: invoice=欧元(Euro), factor=keuro (2022) HT</t>
  </si>
  <si>
    <t>Factor: Services d'hébergement et de restauration - 2022; Category: Achats de services &gt; Ratios monétaires; Contributor: SDES/INSEE; CO2e: 276.0; Unit: kgCO2e/keuro (2022) HT</t>
  </si>
  <si>
    <t>HR/Freelance/Michael/DTMINV4-c-o-Mia-Chen (1) June.pdf</t>
  </si>
  <si>
    <t>600.000</t>
  </si>
  <si>
    <t>24/06/2024</t>
  </si>
  <si>
    <t>16207: Services d'architecture et d'ingénierie/ services de contrôle et analyses techniques - 2023 (sim=0.414)
16203: Services d'architecture et d'ingénierie/ services de contrôle et analyses techniques - 2019 (sim=0.414)
16204: Services d'architecture et d'ingénierie/ services de contrôle et analyses techniques - 2020 (sim=0.413)
16206: Services d'architecture et d'ingénierie/ services de contrôle et analyses techniques - 2022 (sim=0.413)</t>
  </si>
  <si>
    <t>HR/Freelance/Michael/DTMINVF-c-o-Mia-Chen Dec.pdf</t>
  </si>
  <si>
    <t>27/12/2024</t>
  </si>
  <si>
    <t>16203: Services d'architecture et d'ingénierie/ services de contrôle et analyses techniques - 2019 (sim=0.345)
16206: Services d'architecture et d'ingénierie/ services de contrôle et analyses techniques - 2022 (sim=0.345)
16204: Services d'architecture et d'ingénierie/ services de contrôle et analyses techniques - 2020 (sim=0.345)
16205: Services d'architecture et d'ingénierie/ services de contrôle et analyses techniques - 2021 (sim=0.343)</t>
  </si>
  <si>
    <t>HR/Freelance/Michael/DTMINVF-c-o-Mia-Chen July.pdf</t>
  </si>
  <si>
    <t>2024-08-08</t>
  </si>
  <si>
    <t>16287: Services liés à l'emploi - 2023 (sim=0.322)
16286: Services liés à l'emploi - 2022 (sim=0.322)
16209: Services d'hébergement et de restauration - 2020 (sim=0.322)
16284: Services liés à l'emploi - 2020 (sim=0.322)</t>
  </si>
  <si>
    <t>HR/Freelance/Michael/DTMINVF-c-o-Mia-Chen Nov.pdf</t>
  </si>
  <si>
    <t>2024-12-06</t>
  </si>
  <si>
    <t>16207: Services d'architecture et d'ingénierie/ services de contrôle et analyses techniques - 2023 (sim=0.413)
16203: Services d'architecture et d'ingénierie/ services de contrôle et analyses techniques - 2019 (sim=0.413)
16206: Services d'architecture et d'ingénierie/ services de contrôle et analyses techniques - 2022 (sim=0.413)
16204: Services d'architecture et d'ingénierie/ services de contrôle et analyses techniques - 2020 (sim=0.413)</t>
  </si>
  <si>
    <t>No numeric activity provided; defaulted to 1.0; Unit mismatch: invoice=欧元(Euro), factor=keuro (2023) HT</t>
  </si>
  <si>
    <t>HR/Freelance/Michael/DTMINVF-c-o-Mia-Chen October.pdf</t>
  </si>
  <si>
    <t>2024-11-06</t>
  </si>
  <si>
    <t>3523: Charbon sous bitumineux (sim=0.419)
3524: Charbon sous bitumineux (sim=0.419)
4095: Coke de pétrole (sim=0.418)
3522: Charbon sous bitumineux (sim=0.418)</t>
  </si>
  <si>
    <t>No numeric activity provided; defaulted to 1.0; Unit mismatch: invoice=欧元(Euro), factor=kWh PCI</t>
  </si>
  <si>
    <t>Factor: Coke de pétrole; Category: Combustibles &gt; Fossiles &gt; Solides &gt; Cokes; Contributor: ADEME; CO2e: 375.0; Unit: kgCO2e/kWh PCI</t>
  </si>
  <si>
    <t>HR/Freelance/Michael/INVSeptember 2024.pdf</t>
  </si>
  <si>
    <t>02/10/2024</t>
  </si>
  <si>
    <t>16203: Services d'architecture et d'ingénierie/ services de contrôle et analyses techniques - 2019 (sim=0.355)
16206: Services d'architecture et d'ingénierie/ services de contrôle et analyses techniques - 2022 (sim=0.355)
16204: Services d'architecture et d'ingénierie/ services de contrôle et analyses techniques - 2020 (sim=0.354)
16205: Services d'architecture et d'ingénierie/ services de contrôle et analyses techniques - 2021 (sim=0.353)</t>
  </si>
  <si>
    <t>HR/Freelance/Michael/Michel Paie Avril.pdf</t>
  </si>
  <si>
    <t>250.000 USD</t>
  </si>
  <si>
    <t>24/04/2024</t>
  </si>
  <si>
    <t>No numeric activity provided; defaulted to 1.0; Unit mismatch: invoice=美元(US Dollar), factor=keuro (2023) HT</t>
  </si>
  <si>
    <t>HR/Freelance/Michael/Michel Paie Mai.pdf</t>
  </si>
  <si>
    <t>2024-05-23</t>
  </si>
  <si>
    <t>16207: Services d'architecture et d'ingénierie/ services de contrôle et analyses techniques - 2023 (sim=0.355)
16206: Services d'architecture et d'ingénierie/ services de contrôle et analyses techniques - 2022 (sim=0.354)
16204: Services d'architecture et d'ingénierie/ services de contrôle et analyses techniques - 2020 (sim=0.354)
16203: Services d'architecture et d'ingénierie/ services de contrôle et analyses techniques - 2019 (sim=0.354)</t>
  </si>
  <si>
    <t>HR/Freelance/Niavo/Invoice - Juillet.pdf</t>
  </si>
  <si>
    <t>1300.000</t>
  </si>
  <si>
    <t>Madagascar</t>
  </si>
  <si>
    <t>2024-07-18</t>
  </si>
  <si>
    <t>16203: Services d'architecture et d'ingénierie/ services de contrôle et analyses techniques - 2019 (sim=0.336)
16206: Services d'architecture et d'ingénierie/ services de contrôle et analyses techniques - 2022 (sim=0.335)
16204: Services d'architecture et d'ingénierie/ services de contrôle et analyses techniques - 2020 (sim=0.335)
16287: Services liés à l'emploi - 2023 (sim=0.335)</t>
  </si>
  <si>
    <t>HR/Freelance/Niavo/Invoice 0002 August 2024 (1).pdf</t>
  </si>
  <si>
    <t>1066.000</t>
  </si>
  <si>
    <t>16283: Services liés à l'emploi - 2019 (sim=0.329)
16284: Services liés à l'emploi - 2020 (sim=0.328)
16286: Services liés à l'emploi - 2022 (sim=0.328)
16285: Services liés à l'emploi - 2021 (sim=0.327)</t>
  </si>
  <si>
    <t>HR/Freelance/Olivier/M20_BioPerf_Facture1_Nov_Dec2024_241230 (1).pdf</t>
  </si>
  <si>
    <t>Switzerland</t>
  </si>
  <si>
    <t>2024-12-30</t>
  </si>
  <si>
    <t>16207: Services d'architecture et d'ingénierie/ services de contrôle et analyses techniques - 2023 (sim=0.374)
16204: Services d'architecture et d'ingénierie/ services de contrôle et analyses techniques - 2020 (sim=0.374)
16206: Services d'architecture et d'ingénierie/ services de contrôle et analyses techniques - 2022 (sim=0.373)
16205: Services d'architecture et d'ingénierie/ services de contrôle et analyses techniques - 2021 (sim=0.372)</t>
  </si>
  <si>
    <t>HR/Freelance/Qian/2406-F-2024-DT-MASTER-CARBON-001-XQ-CONSULTING.pdf</t>
  </si>
  <si>
    <t>16207: Services d'architecture et d'ingénierie/ services de contrôle et analyses techniques - 2023 (sim=0.415)
16203: Services d'architecture et d'ingénierie/ services de contrôle et analyses techniques - 2019 (sim=0.414)
16204: Services d'architecture et d'ingénierie/ services de contrôle et analyses techniques - 2020 (sim=0.414)
16206: Services d'architecture et d'ingénierie/ services de contrôle et analyses techniques - 2022 (sim=0.414)</t>
  </si>
  <si>
    <t>HR/Freelance/Sonia/Facture DTMC -B4mutations DECEMBRE 2024.pdf</t>
  </si>
  <si>
    <t>market_research</t>
  </si>
  <si>
    <t>16226: Services de publicité et d'études de marché - 2022 (sim=0.490)
16224: Services de publicité et d'études de marché - 2020 (sim=0.488)
16223: Services de publicité et d'études de marché - 2019 (sim=0.488)
16225: Services de publicité et d'études de marché - 2021 (sim=0.486)</t>
  </si>
  <si>
    <t>Factor: Services de publicité et d'études de marché - 2023; Category: Achats de services &gt; Ratios monétaires; Contributor: SDES/INSEE; CO2e: 113.0; Unit: kgCO2e/keuro (2023) HT</t>
  </si>
  <si>
    <t>HR/Freelance/Sonia/Facture DTMC -B4mutations JUILLET 2024.pdf</t>
  </si>
  <si>
    <t>2024-07-23</t>
  </si>
  <si>
    <t>16226: Services de publicité et d'études de marché - 2022 (sim=0.492)
16224: Services de publicité et d'études de marché - 2020 (sim=0.490)
16223: Services de publicité et d'études de marché - 2019 (sim=0.490)
16225: Services de publicité et d'études de marché - 2021 (sim=0.488)</t>
  </si>
  <si>
    <t>HR/Freelance/Sonia/Facture DTMC -B4mutations JUIN 2024.pdf</t>
  </si>
  <si>
    <t>4000.000</t>
  </si>
  <si>
    <t>2024-06-10</t>
  </si>
  <si>
    <t>16226: Services de publicité et d'études de marché - 2022 (sim=0.494)
16224: Services de publicité et d'études de marché - 2020 (sim=0.492)
16223: Services de publicité et d'études de marché - 2019 (sim=0.492)
16225: Services de publicité et d'études de marché - 2021 (sim=0.490)</t>
  </si>
  <si>
    <t>HR/Freelance/Sonia/Facture DTMC -B4mutations NOVEMBRE 2024.pdf</t>
  </si>
  <si>
    <t>2024-12-03</t>
  </si>
  <si>
    <t>16226: Services de publicité et d'études de marché - 2022 (sim=0.492)
16223: Services de publicité et d'études de marché - 2019 (sim=0.490)
16224: Services de publicité et d'études de marché - 2020 (sim=0.490)
16225: Services de publicité et d'études de marché - 2021 (sim=0.489)</t>
  </si>
  <si>
    <t>HR/Freelance/Toni/Facture_2024-06-03_Dt Master Carbon.pdf</t>
  </si>
  <si>
    <t>Professional services - technical leadership / lead developer</t>
  </si>
  <si>
    <t>12000.000</t>
  </si>
  <si>
    <t>16203: Services d'architecture et d'ingénierie/ services de contrôle et analyses techniques - 2019 (sim=0.390)
16206: Services d'architecture et d'ingénierie/ services de contrôle et analyses techniques - 2022 (sim=0.390)
16204: Services d'architecture et d'ingénierie/ services de contrôle et analyses techniques - 2020 (sim=0.390)
16205: Services d'architecture et d'ingénierie/ services de contrôle et analyses techniques - 2021 (sim=0.388)</t>
  </si>
  <si>
    <t>HR/Freelance/Toni/Facture_2024-07-03_Dt Master Carbon.pdf</t>
  </si>
  <si>
    <t>Professional services - technical leadership / lead development</t>
  </si>
  <si>
    <t>13800.000</t>
  </si>
  <si>
    <t>16203: Services d'architecture et d'ingénierie/ services de contrôle et analyses techniques - 2019 (sim=0.400)
16206: Services d'architecture et d'ingénierie/ services de contrôle et analyses techniques - 2022 (sim=0.400)
16204: Services d'architecture et d'ingénierie/ services de contrôle et analyses techniques - 2020 (sim=0.399)
16205: Services d'architecture et d'ingénierie/ services de contrôle et analyses techniques - 2021 (sim=0.398)</t>
  </si>
  <si>
    <t>HR/Freelance/Toni/Facture_2024-08-01_Dt Master Carbon.pdf</t>
  </si>
  <si>
    <t>2024-09-13</t>
  </si>
  <si>
    <t>16207: Services d'architecture et d'ingénierie/ services de contrôle et analyses techniques - 2023 (sim=0.420)
16203: Services d'architecture et d'ingénierie/ services de contrôle et analyses techniques - 2019 (sim=0.419)
16204: Services d'architecture et d'ingénierie/ services de contrôle et analyses techniques - 2020 (sim=0.419)
16206: Services d'architecture et d'ingénierie/ services de contrôle et analyses techniques - 2022 (sim=0.419)</t>
  </si>
  <si>
    <t>HR/Freelance/Toni/Facture_2024-09-01_Dt Master Carbon.pdf</t>
  </si>
  <si>
    <t>8000.000</t>
  </si>
  <si>
    <t>FR</t>
  </si>
  <si>
    <t>2024-10-02</t>
  </si>
  <si>
    <t>16203: Services d'architecture et d'ingénierie/ services de contrôle et analyses techniques - 2019 (sim=0.406)
16206: Services d'architecture et d'ingénierie/ services de contrôle et analyses techniques - 2022 (sim=0.406)
16204: Services d'architecture et d'ingénierie/ services de contrôle et analyses techniques - 2020 (sim=0.406)
16205: Services d'architecture et d'ingénierie/ services de contrôle et analyses techniques - 2021 (sim=0.404)</t>
  </si>
  <si>
    <t>HR/Freelance/Toni/Facture_2024-09-03_Dt Master Carbon.pdf</t>
  </si>
  <si>
    <t>2024-10-23</t>
  </si>
  <si>
    <t>13116: Programmation, conseil IT / Services d'information – 2019 (sim=0.503)
16207: Services d'architecture et d'ingénierie/ services de contrôle et analyses techniques - 2023 (sim=0.395)
16203: Services d'architecture et d'ingénierie/ services de contrôle et analyses techniques - 2019 (sim=0.394)
16206: Services d'architecture et d'ingénierie/ services de contrôle et analyses techniques - 2022 (sim=0.394)</t>
  </si>
  <si>
    <t>HR/Freelance/Toni/ToniFacture_2024-03-02_Dt Master Carbon.pdf</t>
  </si>
  <si>
    <t>2024-04-01</t>
  </si>
  <si>
    <t>16203: Services d'architecture et d'ingénierie/ services de contrôle et analyses techniques - 2019 (sim=0.405)
16206: Services d'architecture et d'ingénierie/ services de contrôle et analyses techniques - 2022 (sim=0.405)
16204: Services d'architecture et d'ingénierie/ services de contrôle et analyses techniques - 2020 (sim=0.405)
16205: Services d'architecture et d'ingénierie/ services de contrôle et analyses techniques - 2021 (sim=0.403)</t>
  </si>
  <si>
    <t>HR/Freelance/Yuanfang/Invoice_YuanfangChi_20240522.pdf</t>
  </si>
  <si>
    <t>2024-05-22</t>
  </si>
  <si>
    <t>16204: Services d'architecture et d'ingénierie/ services de contrôle et analyses techniques - 2020 (sim=0.366)
16207: Services d'architecture et d'ingénierie/ services de contrôle et analyses techniques - 2023 (sim=0.366)
16203: Services d'architecture et d'ingénierie/ services de contrôle et analyses techniques - 2019 (sim=0.365)
16205: Services d'architecture et d'ingénierie/ services de contrôle et analyses techniques - 2021 (sim=0.364)</t>
  </si>
  <si>
    <t>Unit mismatch: invoice=CAD, factor=keuro (2022) HT</t>
  </si>
  <si>
    <t>HR/Freelance/Yuanfang/Invoice_YuanfangChi_20240528.pdf</t>
  </si>
  <si>
    <t>1520.000</t>
  </si>
  <si>
    <t>16204: Services d'architecture et d'ingénierie/ services de contrôle et analyses techniques - 2020 (sim=0.364)
16206: Services d'architecture et d'ingénierie/ services de contrôle et analyses techniques - 2022 (sim=0.364)
16207: Services d'architecture et d'ingénierie/ services de contrôle et analyses techniques - 2023 (sim=0.363)
16203: Services d'architecture et d'ingénierie/ services de contrôle et analyses techniques - 2019 (sim=0.363)</t>
  </si>
  <si>
    <t>Unit mismatch: invoice=CAD, factor=keuro (2020) HT</t>
  </si>
  <si>
    <t>HR/Freelance/Yuanfang/Invoice_YuanfangChi_20240630.pdf</t>
  </si>
  <si>
    <t>16231: Services de recherche et développement scientifique - 2022 (sim=0.470)
16228: Services de recherche et développement scientifique - 2019 (sim=0.468)
16229: Services de recherche et développement scientifique - 2020 (sim=0.468)
16230: Services de recherche et développement scientifique - 2021 (sim=0.467)</t>
  </si>
  <si>
    <t>Unit mismatch: invoice=CAD, factor=keuro (2023) HT</t>
  </si>
  <si>
    <t>Factor: Services de recherche et développement scientifique - 2023; Category: Achats de services &gt; Ratios monétaires; Contributor: SDES/INSEE; CO2e: 78.0; Unit: kgCO2e/keuro (2023) HT</t>
  </si>
  <si>
    <t>HR/Freelance/Yuanfang/Invoice_YuanfangChi_20241110.pdf</t>
  </si>
  <si>
    <t>Custom software development and technical research services</t>
  </si>
  <si>
    <t>2537.500</t>
  </si>
  <si>
    <t>2024-11-10</t>
  </si>
  <si>
    <t>16231: Services de recherche et développement scientifique - 2022 (sim=0.454)
16229: Services de recherche et développement scientifique - 2020 (sim=0.453)
13120: Programmation, conseil IT / Services d'information – 2023 (sim=0.453)
16228: Services de recherche et développement scientifique - 2019 (sim=0.452)</t>
  </si>
  <si>
    <t>HR/Freelance/Yuanfang/Invoice_YuanfangChi_20241230.pdf</t>
  </si>
  <si>
    <t>software development and technical research services</t>
  </si>
  <si>
    <t>16231: Services de recherche et développement scientifique - 2022 (sim=0.479)
16228: Services de recherche et développement scientifique - 2019 (sim=0.478)
16229: Services de recherche et développement scientifique - 2020 (sim=0.477)
16230: Services de recherche et développement scientifique - 2021 (sim=0.476)</t>
  </si>
  <si>
    <t>HR/Team buidlings/Image (4).jpeg</t>
  </si>
  <si>
    <t>2024-12-18</t>
  </si>
  <si>
    <t>16208: Services d'hébergement et de restauration - 2019 (sim=0.496)
16211: Services d'hébergement et de restauration - 2022 (sim=0.495)
16209: Services d'hébergement et de restauration - 2020 (sim=0.494)
16210: Services d'hébergement et de restauration - 2021 (sim=0.493)</t>
  </si>
  <si>
    <t>Incubateur/Berkeley Skydeck/20240617 FT n. 91-  DT Master Carbon.PDF</t>
  </si>
  <si>
    <t>business and tech advisory services (reverse charge)</t>
  </si>
  <si>
    <t>35000.000</t>
  </si>
  <si>
    <t>IT</t>
  </si>
  <si>
    <t>2024-06-17</t>
  </si>
  <si>
    <t>16160: Service (sim=0.479)
7561: Entreposage et services auxiliaires des transports - 2019 (sim=0.357)
2809: Burger au poulet (sim=0.356)
7565: Entreposage et services auxiliaires des transports - 2023 (sim=0.355)</t>
  </si>
  <si>
    <t>Factor: Entreposage et services auxiliaires des transports - 2019; Category: Achats de services &gt; Ratios monétaires; Contributor: SDES/INSEE; CO2e: 198.0; Unit: kgCO2e/keuro (2019) HT</t>
  </si>
  <si>
    <t>Incubateur/Domiciliation/Contrat_domiciliation.pdf</t>
  </si>
  <si>
    <t>Service - commercial domiciliation annual subscription</t>
  </si>
  <si>
    <t>240.000</t>
  </si>
  <si>
    <t>29/07/2024 to 28/07/2025</t>
  </si>
  <si>
    <t>16157: Service (sim=0.583)
16162: Service (sim=0.573)
16154: Service (sim=0.573)
16153: Service (sim=0.571)</t>
  </si>
  <si>
    <t>Incubateur/Insead Launchpad/25FBMISCXXX50000021 DT MASTER (2).pdf</t>
  </si>
  <si>
    <t>vehicle_rental</t>
  </si>
  <si>
    <t>2024-09-19</t>
  </si>
  <si>
    <t>16212: Services d'hébergement et de restauration - 2023 (sim=0.348)
16211: Services d'hébergement et de restauration - 2022 (sim=0.347)
10083: Immeubles de bureaux (sim=0.311)
10082: Immeubles de bureaux (sim=0.311)</t>
  </si>
  <si>
    <t>Unit mismatch: invoice=欧元(Euro), factor=keuro (2020) HT</t>
  </si>
  <si>
    <t>Factor: Services d'hébergement et de restauration - 2020; Category: Achats de services &gt; Ratios monétaires; Contributor: SDES/INSEE; CO2e: 299.0; Unit: kgCO2e/keuro (2020) HT</t>
  </si>
  <si>
    <t>Incubateur/Insead Launchpad/25FBMISCXXX50000054 DT MASTER CARBON.pdf</t>
  </si>
  <si>
    <t>1400.000</t>
  </si>
  <si>
    <t>kgCO2e/m² SHON</t>
  </si>
  <si>
    <t>3431: Chaise (sim=0.354)
3437: Chaise (sim=0.354)
10083: Immeubles de bureaux (sim=0.331)
10082: Immeubles de bureaux (sim=0.330)</t>
  </si>
  <si>
    <t>Unit mismatch: invoice=欧元(Euro), factor=m² SHON</t>
  </si>
  <si>
    <t>Factor: Bâtiments de bureaux; Category: Achats de biens &gt; Bâtiments, ouvrages d'art et voirie &gt; Bâtiments; Contributor: ADEME; Source: Association HQE, DHUP, ADEME, CSTB et CEREMA; CO2e: 650.0; Unit: kgCO2e/m² SHON</t>
  </si>
  <si>
    <t>Incubateur/Insead Launchpad/E8027 DT Master Carbon.pdf</t>
  </si>
  <si>
    <t>700.000</t>
  </si>
  <si>
    <t>2024-03-11</t>
  </si>
  <si>
    <t>3431: Chaise (sim=0.357)
3437: Chaise (sim=0.356)
10083: Immeubles de bureaux (sim=0.330)
10082: Immeubles de bureaux (sim=0.329)</t>
  </si>
  <si>
    <t>Incubateur/Insead Launchpad/E8061 DT Master Carbon.pdf</t>
  </si>
  <si>
    <t>2024-04-10</t>
  </si>
  <si>
    <t>1899: Bâtiments de bureaux (sim=0.348)
16211: Services d'hébergement et de restauration - 2022 (sim=0.347)
10083: Immeubles de bureaux (sim=0.313)
10082: Immeubles de bureaux (sim=0.313)</t>
  </si>
  <si>
    <t>Incubateur/Insead Launchpad/E8121 DT Master.pdf</t>
  </si>
  <si>
    <t>2.000</t>
  </si>
  <si>
    <t>2024-05-10</t>
  </si>
  <si>
    <t>16212: Services d'hébergement et de restauration - 2023 (sim=0.378)
16209: Services d'hébergement et de restauration - 2020 (sim=0.378)
16208: Services d'hébergement et de restauration - 2019 (sim=0.375)
16210: Services d'hébergement et de restauration - 2021 (sim=0.375)</t>
  </si>
  <si>
    <t>Incubateur/Insead Launchpad/E8158 DT MASTER CARBON.pdf</t>
  </si>
  <si>
    <t>16212: Services d'hébergement et de restauration - 2023 (sim=0.395)
16211: Services d'hébergement et de restauration - 2022 (sim=0.395)
16208: Services d'hébergement et de restauration - 2019 (sim=0.393)
16210: Services d'hébergement et de restauration - 2021 (sim=0.393)</t>
  </si>
  <si>
    <t>Incubateur/Insead Launchpad/E9955 DT MASTER CARBON.pdf</t>
  </si>
  <si>
    <t>2024-01-19</t>
  </si>
  <si>
    <t>16209: Services d'hébergement et de restauration - 2020 (sim=0.372)
16212: Services d'hébergement et de restauration - 2023 (sim=0.372)
10082: Immeubles de bureaux (sim=0.336)
10083: Immeubles de bureaux (sim=0.335)</t>
  </si>
  <si>
    <t>Incubateur/Insead Launchpad/E9990 DT Master Carbon.pdf</t>
  </si>
  <si>
    <t>2024-02-09</t>
  </si>
  <si>
    <t>10082: Immeubles de bureaux (sim=0.335)
10083: Immeubles de bureaux (sim=0.334)
11910: Parking (sim=0.330)
4760: Déchets minéraux (sim=0.330)</t>
  </si>
  <si>
    <t>Incubateur/LA RUCHE/Invoice 0011418 (1).pdf</t>
  </si>
  <si>
    <t>2023-09-01</t>
  </si>
  <si>
    <t>1899: Bâtiments de bureaux (sim=0.348)
16212: Services d'hébergement et de restauration - 2023 (sim=0.348)
16211: Services d'hébergement et de restauration - 2022 (sim=0.348)
10083: Immeubles de bureaux (sim=0.311)</t>
  </si>
  <si>
    <t>Incubateur/LA RUCHE/Invoice 0011515 (2).pdf</t>
  </si>
  <si>
    <t>382.500</t>
  </si>
  <si>
    <t>01/10/2023</t>
  </si>
  <si>
    <t>16211: Services d'hébergement et de restauration - 2022 (sim=0.360)
16209: Services d'hébergement et de restauration - 2020 (sim=0.359)
16208: Services d'hébergement et de restauration - 2019 (sim=0.357)
16210: Services d'hébergement et de restauration - 2021 (sim=0.357)</t>
  </si>
  <si>
    <t>Incubateur/LA RUCHE/Invoice 0011636 (3).pdf</t>
  </si>
  <si>
    <t>01/11/2023</t>
  </si>
  <si>
    <t>16212: Services d'hébergement et de restauration - 2023 (sim=0.364)
16209: Services d'hébergement et de restauration - 2020 (sim=0.364)
16208: Services d'hébergement et de restauration - 2019 (sim=0.362)
16210: Services d'hébergement et de restauration - 2021 (sim=0.361)</t>
  </si>
  <si>
    <t>Incubateur/LA RUCHE/Invoice 0011787 (2).pdf</t>
  </si>
  <si>
    <t>2023-12-01</t>
  </si>
  <si>
    <t>16211: Services d'hébergement et de restauration - 2022 (sim=0.348)
16212: Services d'hébergement et de restauration - 2023 (sim=0.347)
1899: Bâtiments de bureaux (sim=0.347)
10083: Immeubles de bureaux (sim=0.310)</t>
  </si>
  <si>
    <t>Incubateur/LA RUCHE/Invoice 0011874 (1).pdf</t>
  </si>
  <si>
    <t>2024-01-01</t>
  </si>
  <si>
    <t>16212: Services d'hébergement et de restauration - 2023 (sim=0.367)
16209: Services d'hébergement et de restauration - 2020 (sim=0.366)
16208: Services d'hébergement et de restauration - 2019 (sim=0.364)
16210: Services d'hébergement et de restauration - 2021 (sim=0.364)</t>
  </si>
  <si>
    <t>Incubateur/LA RUCHE/Invoice 0011973.pdf</t>
  </si>
  <si>
    <t>292.500</t>
  </si>
  <si>
    <t>01/02/2024</t>
  </si>
  <si>
    <t>16209: Services d'hébergement et de restauration - 2020 (sim=0.354)
16212: Services d'hébergement et de restauration - 2023 (sim=0.354)
16210: Services d'hébergement et de restauration - 2021 (sim=0.351)
16208: Services d'hébergement et de restauration - 2019 (sim=0.350)</t>
  </si>
  <si>
    <t>Legal/DT Master Carbon - facture du 12 février 2024 (2).pdf</t>
  </si>
  <si>
    <t>2845.000</t>
  </si>
  <si>
    <t>2024-02-12</t>
  </si>
  <si>
    <t>16281: Services juridiques et comptables/ services des sièges sociaux/ conseil de gestion - 2022 (sim=0.514)
16279: Services juridiques et comptables/ services des sièges sociaux/ conseil de gestion - 2020 (sim=0.513)
16278: Services juridiques et comptables/ services des sièges sociaux/ conseil de gestion - 2019 (sim=0.512)
16280: Services juridiques et comptables/ services des sièges sociaux/ conseil de gestion - 2021 (sim=0.511)</t>
  </si>
  <si>
    <t>Legal/DTMINV2-c-o-Mia-Chen.pdf</t>
  </si>
  <si>
    <t>16279: Services juridiques et comptables/ services des sièges sociaux/ conseil de gestion - 2020 (sim=0.428)
16282: Services juridiques et comptables/ services des sièges sociaux/ conseil de gestion - 2023 (sim=0.427)
16280: Services juridiques et comptables/ services des sièges sociaux/ conseil de gestion - 2021 (sim=0.427)
16278: Services juridiques et comptables/ services des sièges sociaux/ conseil de gestion - 2019 (sim=0.426)</t>
  </si>
  <si>
    <t>Factor: Services juridiques et comptables/ services des sièges sociaux/ conseil de gestion - 2022; Category: Achats de services &gt; Ratios monétaires; Contributor: SDES/INSEE; CO2e: 72.0; Unit: kgCO2e/keuro (2022) HT</t>
  </si>
  <si>
    <t>Legal/Facture 338FID24002127.pdf</t>
  </si>
  <si>
    <t>3139.270</t>
  </si>
  <si>
    <t>2023-12-22</t>
  </si>
  <si>
    <t>16278: Services juridiques et comptables/ services des sièges sociaux/ conseil de gestion - 2019 (sim=0.487)
16281: Services juridiques et comptables/ services des sièges sociaux/ conseil de gestion - 2022 (sim=0.487)
16279: Services juridiques et comptables/ services des sièges sociaux/ conseil de gestion - 2020 (sim=0.487)
16280: Services juridiques et comptables/ services des sièges sociaux/ conseil de gestion - 2021 (sim=0.487)</t>
  </si>
  <si>
    <t>Legal/Facture 338FID24008745.pdf</t>
  </si>
  <si>
    <t>1050.000</t>
  </si>
  <si>
    <t>16279: Services juridiques et comptables/ services des sièges sociaux/ conseil de gestion - 2020 (sim=0.512)
16281: Services juridiques et comptables/ services des sièges sociaux/ conseil de gestion - 2022 (sim=0.512)
16278: Services juridiques et comptables/ services des sièges sociaux/ conseil de gestion - 2019 (sim=0.511)
16280: Services juridiques et comptables/ services des sièges sociaux/ conseil de gestion - 2021 (sim=0.510)</t>
  </si>
  <si>
    <t>Legal/Facture 338FID24010531.pdf</t>
  </si>
  <si>
    <t>2024-09-30</t>
  </si>
  <si>
    <t>16279: Services juridiques et comptables/ services des sièges sociaux/ conseil de gestion - 2020 (sim=0.513)
16281: Services juridiques et comptables/ services des sièges sociaux/ conseil de gestion - 2022 (sim=0.513)
16278: Services juridiques et comptables/ services des sièges sociaux/ conseil de gestion - 2019 (sim=0.513)
16280: Services juridiques et comptables/ services des sièges sociaux/ conseil de gestion - 2021 (sim=0.512)</t>
  </si>
  <si>
    <t>Marketing/Berkeley/French bee - voyage Mia SF Paris.pdf</t>
  </si>
  <si>
    <t>transportation_air</t>
  </si>
  <si>
    <t>843.720</t>
  </si>
  <si>
    <t>France; United States</t>
  </si>
  <si>
    <t>2024-04-19</t>
  </si>
  <si>
    <t>Air / Economy (SMART)</t>
  </si>
  <si>
    <t>1237: Avion passagers (sim=0.760)
1507: Avion passagers (sim=0.760)
1093: Avion passagers (sim=0.759)
1057: Avion passagers (sim=0.758)</t>
  </si>
  <si>
    <t>Factor: Avion passagers; Category: Transport de marchandises &gt; Aérien &gt; Avion passager &gt; Capacité &gt;220 sièges : détail par kms parcourus; Source: Ecocalculateur DGAC; CO2e: 83.0; Unit: kgCO2e/t.km</t>
  </si>
  <si>
    <t>Marketing/Berkeley/Your Electronic Ticket-EMD Receipt.pdf</t>
  </si>
  <si>
    <t>2024-04-14</t>
  </si>
  <si>
    <t>Air / SMART (booking classes T outbound, I return)</t>
  </si>
  <si>
    <t>kgCO2e/peq.km</t>
  </si>
  <si>
    <t>1513: Avion passagers (sim=0.564)
1514: Avion passagers (sim=0.564)
1508: Avion passagers (sim=0.564)
1509: Avion passagers (sim=0.564)</t>
  </si>
  <si>
    <t>Unit mismatch: invoice=欧元(Euro), factor=peq.km</t>
  </si>
  <si>
    <t>Factor: Avion passagers; Category: Transport de personnes &gt; Aérien &gt; Par capacité d'avion &gt; Capacité &gt;220 sièges : détail par kms parcourus; Source: Ecocalculateur DGAC; CO2e: 167.0; Unit: kgCO2e/peq.km</t>
  </si>
  <si>
    <t>Marketing/Carbon Forward/Complete_with_Docusign_Bronze_Sponsorship_Co.pdf</t>
  </si>
  <si>
    <t>3500.000</t>
  </si>
  <si>
    <t>United Kingdom</t>
  </si>
  <si>
    <t>16 September 2024</t>
  </si>
  <si>
    <t>16152: Service (sim=0.554)
16180: Service (sim=0.549)
16162: Service (sim=0.548)
16177: Service (sim=0.547)</t>
  </si>
  <si>
    <t>Unit mismatch: invoice=GBP, factor=keuro; Selected factor is monetary or lacks activity denominator; review.</t>
  </si>
  <si>
    <t>Marketing/Carbon Forward/facture September FREE MOBILE ALEXANDER BASSEY 19.99 to 56.07.pdf</t>
  </si>
  <si>
    <t>46.730</t>
  </si>
  <si>
    <t>16256: Services de télécommunications - 2022 (sim=0.437)
16253: Services de télécommunications - 2019 (sim=0.435)
16254: Services de télécommunications - 2020 (sim=0.435)
16255: Services de télécommunications - 2021 (sim=0.434)</t>
  </si>
  <si>
    <t>Factor: Services de télécommunications - 2023; Category: Achats de services &gt; Ratios monétaires; Contributor: SDES/INSEE; CO2e: 136.0; Unit: kgCO2e/keuro (2023) HT</t>
  </si>
  <si>
    <t>Marketing/Carbon Forward/FREE INTERNET BILL SEPTEMBER ALEXANDER BASSEY.pdf</t>
  </si>
  <si>
    <t>42.220</t>
  </si>
  <si>
    <t>2024-09-02</t>
  </si>
  <si>
    <t>16256: Services de télécommunications - 2022 (sim=0.392)
16257: Services de télécommunications - 2023 (sim=0.391)
16254: Services de télécommunications - 2020 (sim=0.391)
16255: Services de télécommunications - 2021 (sim=0.390)</t>
  </si>
  <si>
    <t>Factor: Services de télécommunications - 2019; Category: Achats de services &gt; Ratios monétaires; Contributor: SDES/INSEE; CO2e: 125.0; Unit: kgCO2e/keuro (2019) HT</t>
  </si>
  <si>
    <t>Marketing/Carbon Forward/FREE INTERNET OCTOBER BASSEY ALEXANDER.pdf</t>
  </si>
  <si>
    <t>16256: Services de télécommunications - 2022 (sim=0.393)
16253: Services de télécommunications - 2019 (sim=0.392)
16254: Services de télécommunications - 2020 (sim=0.392)
16255: Services de télécommunications - 2021 (sim=0.391)</t>
  </si>
  <si>
    <t>Marketing/Carbon Forward/IMG-20241022-WA0001.jpg</t>
  </si>
  <si>
    <t>23.900</t>
  </si>
  <si>
    <t>2024-10-03</t>
  </si>
  <si>
    <t>Train / Standard Class</t>
  </si>
  <si>
    <t>17526: Train de voyageurs (sim=0.557)
17524: Train de voyageurs (sim=0.557)
17534: Train de voyageurs (sim=0.557)
17522: Train de voyageurs (sim=0.556)</t>
  </si>
  <si>
    <t>Unit mismatch: invoice=GBP, factor=passager.km</t>
  </si>
  <si>
    <t>Factor: Train de voyageurs; Category: Transport de personnes &gt; Ferroviaire &gt; Autres pays du monde; Contributor: ADEME; CO2e: 452.0; Unit: kgCO2e/passager.km</t>
  </si>
  <si>
    <t>Marketing/Carbon Forward/IMG-20241022-WA0002.jpg</t>
  </si>
  <si>
    <t>15.000</t>
  </si>
  <si>
    <t>2024-10-10</t>
  </si>
  <si>
    <t>537: Autobus moyen (sim=0.722)
492: Autobus (sim=0.722)
495: Autobus (sim=0.722)
489: Autobus (sim=0.721)</t>
  </si>
  <si>
    <t>Factor: Autobus moyen; Category: Transport de personnes &gt; Routier &gt; Autobus - Autocar &gt; Moyenne (Parc) - Toutes motorisations; Source: UTP - Enquête TCU 2017; CO2e: 202.0; Unit: kgCO2e/passager.km</t>
  </si>
  <si>
    <t>Marketing/Carbon Forward/IMG-20241022-WA0003.jpg</t>
  </si>
  <si>
    <t>2024-10-09</t>
  </si>
  <si>
    <t>Rail / Standard Class</t>
  </si>
  <si>
    <t>17534: Train de voyageurs (sim=0.619)
17522: Train de voyageurs (sim=0.619)
17526: Train de voyageurs (sim=0.619)
17540: Train de voyageurs (sim=0.619)</t>
  </si>
  <si>
    <t>Factor: Train de voyageurs; Category: Transport de personnes &gt; Ferroviaire &gt; Autres pays du monde; Contributor: ADEME; CO2e: 388.0; Unit: kgCO2e/passager.km</t>
  </si>
  <si>
    <t>Marketing/Carbon Forward/IMG-20241022-WA0004.jpg</t>
  </si>
  <si>
    <t>2024-10-08</t>
  </si>
  <si>
    <t>492: Autobus (sim=0.717)
489: Autobus (sim=0.716)
531: Autobus moyen (sim=0.716)
495: Autobus (sim=0.716)</t>
  </si>
  <si>
    <t>Marketing/Carbon Forward/IMG-20241022-WA0005.jpg</t>
  </si>
  <si>
    <t>2024-10-12</t>
  </si>
  <si>
    <t>17520: Train de voyageurs (sim=0.629)
17524: Train de voyageurs (sim=0.629)
17534: Train de voyageurs (sim=0.629)
17540: Train de voyageurs (sim=0.628)</t>
  </si>
  <si>
    <t>Factor: Train de voyageurs; Category: Transport de personnes &gt; Ferroviaire &gt; Autres pays du monde; Contributor: ADEME; CO2e: 317.0; Unit: kgCO2e/passager.km</t>
  </si>
  <si>
    <t>Marketing/Carbon Forward/Internet FREE invoiceOctober.pdf</t>
  </si>
  <si>
    <t>49.990</t>
  </si>
  <si>
    <t>16253: Services de télécommunications - 2019 (sim=0.575)
16257: Services de télécommunications - 2023 (sim=0.573)
16256: Services de télécommunications - 2022 (sim=0.572)
16254: Services de télécommunications - 2020 (sim=0.571)</t>
  </si>
  <si>
    <t>Marketing/Carbon Forward/Invoice RYANAIR BASSEY ALEXANDER  October 3-12.pdf</t>
  </si>
  <si>
    <t>France; United Kingdom</t>
  </si>
  <si>
    <t>2024-10-03 to 2024-10-12</t>
  </si>
  <si>
    <t>air / Standard Class</t>
  </si>
  <si>
    <t>1381: Avion passagers (sim=0.781)
1561: Avion passagers (sim=0.781)
1273: Avion passagers (sim=0.781)
1219: Avion passagers (sim=0.781)</t>
  </si>
  <si>
    <t>Factor: Avion passagers; Category: Transport de marchandises &gt; Aérien &gt; Avion passager &gt; Capacité 20-50 sièges : détail par kms parcourus; Source: Ecocalculateur DGAC; CO2e: 224.0; Unit: kgCO2e/t.km</t>
  </si>
  <si>
    <t>Marketing/Carbon Forward/INVOICEALEXANDERBASSEY Metro Tube Cost from Home to London Carbon Forward Return  Day 1 Day 2 Day 3.pdf</t>
  </si>
  <si>
    <t>45.000</t>
  </si>
  <si>
    <t>23/10/2024</t>
  </si>
  <si>
    <t>metro / Economy</t>
  </si>
  <si>
    <t>11138: Métro, tramway, trolleybus (sim=0.602)
11141: Métro, tramway, trolleybus (sim=0.602)
11144: Métro, tramway, trolleybus (sim=0.601)
11147: Métro, tramway, trolleybus (sim=0.601)</t>
  </si>
  <si>
    <t>Marketing/Carbon Forward/INVOICEALEXANDERBASSEY TRAIN AIRPORT TO LONDON AND LONDON TO AIRPORT  - 3 -12Oct.pdf</t>
  </si>
  <si>
    <t>train / Economy</t>
  </si>
  <si>
    <t>17524: Train de voyageurs (sim=0.636)
17534: Train de voyageurs (sim=0.636)
17520: Train de voyageurs (sim=0.636)
17540: Train de voyageurs (sim=0.636)</t>
  </si>
  <si>
    <t>Marketing/Carbon Forward/INVOICEALEXANDERBASSEYFREE MOBILE SUR COUT APPELs.pdf</t>
  </si>
  <si>
    <t>30.067</t>
  </si>
  <si>
    <t>17/09/2024</t>
  </si>
  <si>
    <t>16254: Services de télécommunications - 2020 (sim=0.388)
16256: Services de télécommunications - 2022 (sim=0.387)
16253: Services de télécommunications - 2019 (sim=0.387)
16255: Services de télécommunications - 2021 (sim=0.386)</t>
  </si>
  <si>
    <t>Marketing/Carbon Forward/INVOICEALEXANDERBASSEYRYAN AIR LONDRES - 3 -12Oct.pdf</t>
  </si>
  <si>
    <t>112.160</t>
  </si>
  <si>
    <t>Air / Economy</t>
  </si>
  <si>
    <t>1381: Avion passagers (sim=0.771)
1561: Avion passagers (sim=0.771)
1093: Avion passagers (sim=0.771)
1219: Avion passagers (sim=0.770)</t>
  </si>
  <si>
    <t>Marketing/Carbon Forward/INVOICEALEXANDERBASSEYSeptember FREE INTERNET.pdf</t>
  </si>
  <si>
    <t>41.658</t>
  </si>
  <si>
    <t>16257: Services de télécommunications - 2023 (sim=0.597)
16256: Services de télécommunications - 2022 (sim=0.597)
16254: Services de télécommunications - 2020 (sim=0.596)
16183: Service (sim=0.595)</t>
  </si>
  <si>
    <t>Marketing/Carbon Forward/SCFL250  DT MASTER CARBON  Sponsorship Invoice.pdf</t>
  </si>
  <si>
    <t>5000.000</t>
  </si>
  <si>
    <t>2024-07-17</t>
  </si>
  <si>
    <t>kgCO2e/kg</t>
  </si>
  <si>
    <t>4706: Déchets bois (sim=0.425)
2053: Bioéthanol (sim=0.424)
2045: Bioéthanol (sim=0.424)
4703: Déchets bois (sim=0.424)</t>
  </si>
  <si>
    <t>Unit mismatch: invoice=GBP, factor=kg</t>
  </si>
  <si>
    <t>Factor: Déchets bois; Category: Combustibles &gt; Organiques &gt; Solides; Contributor: ADEME; Source: ADEME; CO2e: 588.0; Unit: kgCO2e/kg</t>
  </si>
  <si>
    <t>Marketing/CBD COP/Bogota hotel_translate version.pdf</t>
  </si>
  <si>
    <t>447.170</t>
  </si>
  <si>
    <t>CNY</t>
  </si>
  <si>
    <t>Colombia</t>
  </si>
  <si>
    <t>2024-11-18</t>
  </si>
  <si>
    <t>16212: Services d'hébergement et de restauration - 2023 (sim=0.419)
16209: Services d'hébergement et de restauration - 2020 (sim=0.417)
16208: Services d'hébergement et de restauration - 2019 (sim=0.416)
16210: Services d'hébergement et de restauration - 2021 (sim=0.415)</t>
  </si>
  <si>
    <t>Unit mismatch: invoice=人民币(Chinese Yuan), factor=keuro (2022) HT</t>
  </si>
  <si>
    <t>Marketing/CBD COP/Booking confirmed Paris_Bogota.pdf</t>
  </si>
  <si>
    <t>709.730</t>
  </si>
  <si>
    <t>France; Colombia</t>
  </si>
  <si>
    <t>139: Agences de voyage, voyagistes, réservations – 2023 (sim=0.392)
136: Agences de voyage, voyagistes, réservations – 2020 (sim=0.391)
137: Agences de voyage, voyagistes, réservations – 2021 (sim=0.390)
135: Agences de voyage, voyagistes, réservations – 2019 (sim=0.389)</t>
  </si>
  <si>
    <t>Factor: Agences de voyage, voyagistes, réservations – 2022; Category: Achats de services &gt; Ratios monétaires; Contributor: SDES/INSEE; CO2e: 164.0; Unit: kgCO2e/keuro (2022) HT</t>
  </si>
  <si>
    <t>Marketing/CDC biodiversite/Facture_Adhesion24_DTMasterCarbon_F-24-09-21.pdf</t>
  </si>
  <si>
    <t>Service – annual membership (club) including biodiversity credits</t>
  </si>
  <si>
    <t>16192: Services annexes à l'agriculture et à la chasse - 2023 (sim=0.533)
16292: Services sportifs, récréatifs et de loisirs - 2023 (sim=0.533)
16191: Services annexes à l'agriculture et à la chasse - 2022 (sim=0.531)
16189: Services annexes à l'agriculture et à la chasse - 2020 (sim=0.529)</t>
  </si>
  <si>
    <t>Factor: Services sportifs, récréatifs et de loisirs - 2022; Category: Achats de services &gt; Ratios monétaires; Contributor: SDES/INSEE; CO2e: 210.0; Unit: kgCO2e/keuro (2022) HT</t>
  </si>
  <si>
    <t>Marketing/CDC biodiversite/FACTURE_FormationGBS_JingxiaoHe_DTMASTERCARBON_F-24-06-48.pdf</t>
  </si>
  <si>
    <t>16217: Services de l'enseignement - 2023 (sim=0.497)
17344: Train (sim=0.353)
17336: Train (sim=0.352)
17352: Train (sim=0.351)</t>
  </si>
  <si>
    <t>Marketing/China Shenzheng/Hotel Shengzheng.jpg</t>
  </si>
  <si>
    <t>181.040</t>
  </si>
  <si>
    <t>America</t>
  </si>
  <si>
    <t>hotel</t>
  </si>
  <si>
    <t>16208: Services d'hébergement et de restauration - 2019 (sim=0.461)
16211: Services d'hébergement et de restauration - 2022 (sim=0.460)
16209: Services d'hébergement et de restauration - 2020 (sim=0.460)
16210: Services d'hébergement et de restauration - 2021 (sim=0.460)</t>
  </si>
  <si>
    <t>Marketing/Ferme Digitale/Facture-DT MASTER CARBON SAS-LA FERME DIGITALE-F-20240426-804.pdf</t>
  </si>
  <si>
    <t>750.000</t>
  </si>
  <si>
    <t>2024-04-26</t>
  </si>
  <si>
    <t>16162: Service (sim=0.594)
16177: Service (sim=0.591)
16149: Service (sim=0.591)
5016: Ecran publicitaire (sim=0.349)</t>
  </si>
  <si>
    <t>Unit mismatch: invoice=欧元(Euro), factor=unité</t>
  </si>
  <si>
    <t>Factor: Ecran publicitaire; Category: Achats de biens &gt; Machines et équipements &gt; Informatique et équipements électroniques; Contributor: ADEME; Source: ADEME. J.Lhotellier RDC Environment. Décembre 2019. Modélisation et évaluation environnementale de p; CO2e: 1083.0; Unit: kgCO2e/unité</t>
  </si>
  <si>
    <t>Marketing/Reset connect/Invoice INV-0779.pdf</t>
  </si>
  <si>
    <t>2024-05-17</t>
  </si>
  <si>
    <t>16160: Service (sim=0.616)
16180: Service (sim=0.612)
16162: Service (sim=0.612)
16167: Service (sim=0.612)</t>
  </si>
  <si>
    <t>Marketing/Reset connect/Reset/FactureHoteltaxesday1day2 16euros26 (1).pdf</t>
  </si>
  <si>
    <t>16.260</t>
  </si>
  <si>
    <t>25/05/24</t>
  </si>
  <si>
    <t>16208: Services d'hébergement et de restauration - 2019 (sim=0.479)
16211: Services d'hébergement et de restauration - 2022 (sim=0.479)
16209: Services d'hébergement et de restauration - 2020 (sim=0.478)
16210: Services d'hébergement et de restauration - 2021 (sim=0.476)</t>
  </si>
  <si>
    <t>Marketing/Reset connect/Reset/invoice 1DTMC EUROS  vivatech Reset connetABassey.pdf</t>
  </si>
  <si>
    <t>136.740</t>
  </si>
  <si>
    <t>air and rail</t>
  </si>
  <si>
    <t>16211: Services d'hébergement et de restauration - 2022 (sim=0.487)
16208: Services d'hébergement et de restauration - 2019 (sim=0.487)
16209: Services d'hébergement et de restauration - 2020 (sim=0.487)
16210: Services d'hébergement et de restauration - 2021 (sim=0.485)</t>
  </si>
  <si>
    <t>Marketing/Reset connect/Reset/invoiceDTMC GBP resetconnect.pdf</t>
  </si>
  <si>
    <t>kgCO2e/kWh PCS</t>
  </si>
  <si>
    <t>2093: Biométhane (sim=0.443)
2354: Bitumes (sim=0.443)
2336: Bitumes (sim=0.442)
2342: Bitumes (sim=0.442)</t>
  </si>
  <si>
    <t>Unit mismatch: invoice=GBP, factor=kWh PCS</t>
  </si>
  <si>
    <t>Factor: Biométhane; Category: Combustibles &gt; Organiques &gt; Gazeux; Contributor: GRDF; CO2e: 148.0; Unit: kgCO2e/kWh PCS</t>
  </si>
  <si>
    <t>Marketing/Reset connect/Reset/Receipts ResetConnnect-June 2024.pdf</t>
  </si>
  <si>
    <t>23.000</t>
  </si>
  <si>
    <t>United Kingdom to United Kingdom</t>
  </si>
  <si>
    <t>17524: Train de voyageurs (sim=0.526)
17520: Train de voyageurs (sim=0.526)
17534: Train de voyageurs (sim=0.526)
17532: Train de voyageurs (sim=0.525)</t>
  </si>
  <si>
    <t>Marketing/Reset connect/Reset/RecusResetConnect2024Bassey Alexander.pdf</t>
  </si>
  <si>
    <t>3.933</t>
  </si>
  <si>
    <t>2024-06-25</t>
  </si>
  <si>
    <t>rail</t>
  </si>
  <si>
    <t>kgCO2e/tonne.km</t>
  </si>
  <si>
    <t>17423: Train de marchandises (sim=0.538)
17418: Train de marchandises (sim=0.538)
17409: Train de marchandises (sim=0.538)
17417: Train de marchandises (sim=0.538)</t>
  </si>
  <si>
    <t>Unit mismatch: invoice=GBP, factor=tonne.km</t>
  </si>
  <si>
    <t>Factor: Train de marchandises; Category: Transport de marchandises &gt; Ferroviaire &gt; Autres pays du monde; Contributor: ADEME; CO2e: 345.0; Unit: kgCO2e/tonne.km</t>
  </si>
  <si>
    <t>Marketing/Reset connect/Reset/RYANAIR INSURANCE LETTER PROOF OF BOARDING ALEXANDER BASSEY.pdf</t>
  </si>
  <si>
    <t>33.980</t>
  </si>
  <si>
    <t>2024-06-20 to 2024-06-27</t>
  </si>
  <si>
    <t>1381: Avion passagers (sim=0.763)
1093: Avion passagers (sim=0.763)
1561: Avion passagers (sim=0.763)
1219: Avion passagers (sim=0.762)</t>
  </si>
  <si>
    <t>Marketing/Reset connect/Reset/Ryanair Receipts.pdf</t>
  </si>
  <si>
    <t>92.980</t>
  </si>
  <si>
    <t>Flight / Economy</t>
  </si>
  <si>
    <t>1561: Avion passagers (sim=0.770)
1381: Avion passagers (sim=0.770)
1093: Avion passagers (sim=0.770)
1507: Avion passagers (sim=0.769)</t>
  </si>
  <si>
    <t>Marketing/Reset connect/Reset/taxi ride 25may (1).jpg</t>
  </si>
  <si>
    <t>25.091</t>
  </si>
  <si>
    <t>2024-05-25</t>
  </si>
  <si>
    <t>Taxi / Economy</t>
  </si>
  <si>
    <t>16789: Taxi brousse (sim=0.625)
16792: Taxi brousse (sim=0.624)
16790: Taxi brousse (sim=0.449)
16791: Taxi brousse (sim=0.449)</t>
  </si>
  <si>
    <t>Factor: Taxi brousse; Category: Transport de personnes &gt; Routier &gt; Taxi ? VTC &gt; DOM COM; Contributor: ADEME; CO2e: 359.0; Unit: kgCO2e/passager.km</t>
  </si>
  <si>
    <t>Marketing/Shanghai ESG Greenext Expo/Flight.pdf</t>
  </si>
  <si>
    <t>892.480</t>
  </si>
  <si>
    <t>France; China</t>
  </si>
  <si>
    <t>25/07/2024</t>
  </si>
  <si>
    <t>1497: Avion passagers (sim=0.761)
1214: Avion passagers (sim=0.760)
1556: Avion passagers (sim=0.760)
1047: Avion passagers (sim=0.760)</t>
  </si>
  <si>
    <t>Factor: Avion passagers; Category: Transport de marchandises &gt; Aérien &gt; Avion passager &gt; Capacité &gt;220 sièges : détail par kms parcourus; Source: Ecocalculateur DGAC; CO2e: 152.0; Unit: kgCO2e/t.km</t>
  </si>
  <si>
    <t>Marketing/SMAU ITALY/Chen-Xingmiao-2327450601.pdf</t>
  </si>
  <si>
    <t>Italy; Switzerland</t>
  </si>
  <si>
    <t>2024-10-31</t>
  </si>
  <si>
    <t>Train / Economy</t>
  </si>
  <si>
    <t>17540: Train de voyageurs (sim=0.610)
17534: Train de voyageurs (sim=0.609)
17520: Train de voyageurs (sim=0.609)
17514: Train de voyageurs (sim=0.609)</t>
  </si>
  <si>
    <t>Marketing/SMAU ITALY/RC5WB5PA8F (1).pdf</t>
  </si>
  <si>
    <t>685.000</t>
  </si>
  <si>
    <t>Italy</t>
  </si>
  <si>
    <t>16211: Services d'hébergement et de restauration - 2022 (sim=0.465)
16209: Services d'hébergement et de restauration - 2020 (sim=0.465)
16208: Services d'hébergement et de restauration - 2019 (sim=0.464)
16210: Services d'hébergement et de restauration - 2021 (sim=0.463)</t>
  </si>
  <si>
    <t>Marketing/SMAU ITALY/RCN3EZHKEE.pdf</t>
  </si>
  <si>
    <t>accommodation - short-term rental (reservation modification)</t>
  </si>
  <si>
    <t>16209: Services d'hébergement et de restauration - 2020 (sim=0.343)
16212: Services d'hébergement et de restauration - 2023 (sim=0.343)
16208: Services d'hébergement et de restauration - 2019 (sim=0.343)
16210: Services d'hébergement et de restauration - 2021 (sim=0.341)</t>
  </si>
  <si>
    <t>Marketing/SP/024896b8-849a-47fa-90e6-19626f21bb39.jpeg</t>
  </si>
  <si>
    <t>2.730</t>
  </si>
  <si>
    <t>Spain</t>
  </si>
  <si>
    <t>2024-12-02</t>
  </si>
  <si>
    <t>kgCO2e/kg de poids net</t>
  </si>
  <si>
    <t>8892: Gâteau basque (sim=0.549)
2731: Brie (sim=0.546)
2732: Brie (sim=0.545)
8891: Gâteau basque (sim=0.544)</t>
  </si>
  <si>
    <t>Unit mismatch: invoice=欧元(Euro), factor=kg de poids net</t>
  </si>
  <si>
    <t>Factor: Gâteau basque; Category: Achats de biens &gt; Produits agro-alimentaires, plats préparés et boissons &gt; Produits céréaliers &gt; Gâteaux et pâtisseries; Source: Agribalyse 3.1; CO2e: 228.0; Unit: kgCO2e/kg de poids net</t>
  </si>
  <si>
    <t>Marketing/SP/110ba23f-c3d0-4429-badf-cdea0513302d.jpeg</t>
  </si>
  <si>
    <t>16182: Service (sim=0.542)
16181: Service (sim=0.539)
16162: Service (sim=0.536)
16180: Service (sim=0.533)</t>
  </si>
  <si>
    <t>Marketing/SP/33120b70-8ca3-4bd2-a9d1-bec8ab2cae2d.jpeg</t>
  </si>
  <si>
    <t>3.980</t>
  </si>
  <si>
    <t>13540: Réfrigération sur lieu de vente (sim=0.496)
13547: Réfrigération sur lieu de vente (sim=0.495)
13545: Réfrigération sur lieu de vente (sim=0.495)
4150: Commerce de détail, à l'exclusion des automobiles et des motocycles - 2020 (sim=0.493)</t>
  </si>
  <si>
    <t>Factor: Commerce de détail, à l'exclusion des automobiles et des motocycles - 2020; Category: Achats de services &gt; Ratios monétaires; Contributor: SDES/INSEE; CO2e: 132.0; Unit: kgCO2e/keuro (2020) HT</t>
  </si>
  <si>
    <t>Marketing/SP/43fd9c1c-db19-4702-9cd3-11d5d0285bc7.jpeg</t>
  </si>
  <si>
    <t>urban public transport</t>
  </si>
  <si>
    <t>492: Autobus (sim=0.707)
498: Autobus (sim=0.706)
495: Autobus (sim=0.706)
531: Autobus moyen (sim=0.706)</t>
  </si>
  <si>
    <t>Marketing/SP/7991a4cf-a649-4b75-835c-cf417b57d178.jpeg</t>
  </si>
  <si>
    <t>4150: Commerce de détail, à l'exclusion des automobiles et des motocycles - 2020 (sim=0.548)
4153: Commerce de détail, à l'exclusion des automobiles et des motocycles - 2023 (sim=0.547)
4149: Commerce de détail, à l'exclusion des automobiles et des motocycles - 2019 (sim=0.547)
4151: Commerce de détail, à l'exclusion des automobiles et des motocycles - 2021 (sim=0.545)</t>
  </si>
  <si>
    <t>Factor: Commerce de détail, à l'exclusion des automobiles et des motocycles - 2022; Category: Achats de services &gt; Ratios monétaires; Contributor: SDES/INSEE; CO2e: 123.0; Unit: kgCO2e/keuro (2022) HT</t>
  </si>
  <si>
    <t>Marketing/SP/9091407d-d9d9-43d0-8607-cf201b410829.jpeg</t>
  </si>
  <si>
    <t>8.730</t>
  </si>
  <si>
    <t>2024-05-27</t>
  </si>
  <si>
    <t>16208: Services d'hébergement et de restauration - 2019 (sim=0.476)
16211: Services d'hébergement et de restauration - 2022 (sim=0.475)
16209: Services d'hébergement et de restauration - 2020 (sim=0.474)
16210: Services d'hébergement et de restauration - 2021 (sim=0.474)</t>
  </si>
  <si>
    <t>Marketing/SP/92dce1b1-039b-4c8f-a915-4b2e44d78043.jpeg</t>
  </si>
  <si>
    <t>16208: Services d'hébergement et de restauration - 2019 (sim=0.481)
16211: Services d'hébergement et de restauration - 2022 (sim=0.481)
16209: Services d'hébergement et de restauration - 2020 (sim=0.480)
16210: Services d'hébergement et de restauration - 2021 (sim=0.479)</t>
  </si>
  <si>
    <t>Marketing/SP/94d4e040-a43d-4b93-8752-c89cddd889de.jpeg</t>
  </si>
  <si>
    <t>29.227</t>
  </si>
  <si>
    <t>2017-05-05</t>
  </si>
  <si>
    <t>16792: Taxi brousse (sim=0.621)
16786: Taxi brousse (sim=0.621)
139: Agences de voyage, voyagistes, réservations – 2023 (sim=0.359)
136: Agences de voyage, voyagistes, réservations – 2020 (sim=0.359)</t>
  </si>
  <si>
    <t>Factor: Agences de voyage, voyagistes, réservations – 2023; Category: Achats de services &gt; Ratios monétaires; Contributor: SDES/INSEE; CO2e: 136.0; Unit: kgCO2e/keuro (2023) HT</t>
  </si>
  <si>
    <t>Marketing/SP/99258ed9-59e4-4eb1-bb9c-5ea2a9cb00eb.jpeg</t>
  </si>
  <si>
    <t>3.450</t>
  </si>
  <si>
    <t>10960: Marsala (sim=0.519)
15764: Sangria (sim=0.518)
15763: Sangria (sim=0.517)
13077: Produits des industries alimentaires, boissons et produits à base de tabac - 2019 (sim=0.511)</t>
  </si>
  <si>
    <t>Factor: Montant des achats; Category: Achats de biens &gt; Machines et équipements &gt; Informatique et équipements électroniques; Contributor: ADEME; CO2e: 917.0; Unit: kgCO2e/keuro</t>
  </si>
  <si>
    <t>Marketing/SP/Badge_Alexander Bassey (1).pdf</t>
  </si>
  <si>
    <t>2095.000</t>
  </si>
  <si>
    <t>2024-12-02 to 2024-12-04</t>
  </si>
  <si>
    <t>13870: Réseau de chaleur (sim=0.416)
4760: Déchets minéraux (sim=0.416)
13869: Réseau de chaleur (sim=0.413)
13917: Réseau de chaleur (sim=0.413)</t>
  </si>
  <si>
    <t>Unit mismatch: invoice=美元(US Dollar), factor=kWh</t>
  </si>
  <si>
    <t>Factor: Réseau de chaleur; Category: Réseaux de chaleur / froid &gt; Midi-Pyrénées; Contributor: ADEME; CO2e: 175.0; Unit: kgCO2e/kWh</t>
  </si>
  <si>
    <t>Marketing/SP/caa1c29e-2c0d-49aa-98ee-4ce9eb35203f.jpeg</t>
  </si>
  <si>
    <t>9.330</t>
  </si>
  <si>
    <t>13540: Réfrigération sur lieu de vente (sim=0.490)
13545: Réfrigération sur lieu de vente (sim=0.490)
13546: Réfrigération sur lieu de vente (sim=0.490)
13547: Réfrigération sur lieu de vente (sim=0.489)</t>
  </si>
  <si>
    <t>Marketing/SP/d3f21174-6848-4261-99e9-e379951f8c52.jpeg</t>
  </si>
  <si>
    <t>2.270</t>
  </si>
  <si>
    <t>16211: Services d'hébergement et de restauration - 2022 (sim=0.480)
16208: Services d'hébergement et de restauration - 2019 (sim=0.479)
16209: Services d'hébergement et de restauration - 2020 (sim=0.478)
16210: Services d'hébergement et de restauration - 2021 (sim=0.478)</t>
  </si>
  <si>
    <t>Marketing/SP/f2a6e2e7-f98d-4b12-964f-fea5931b0941.jpeg</t>
  </si>
  <si>
    <t>2.360</t>
  </si>
  <si>
    <t>13546: Réfrigération sur lieu de vente (sim=0.478)
13539: Réfrigération sur lieu de vente (sim=0.477)
13547: Réfrigération sur lieu de vente (sim=0.477)
13545: Réfrigération sur lieu de vente (sim=0.476)</t>
  </si>
  <si>
    <t>Unit mismatch: invoice=欧元(Euro), factor=1</t>
  </si>
  <si>
    <t>Factor: Réfrigération sur lieu de vente; Category: Process et émissions fugitives &gt; Réfrigération et climatisation &gt; Réfrigération &gt; Commerciale; Contributor: ADEME; CO2e: 30.0; Unit: %</t>
  </si>
  <si>
    <t>Marketing/SP/Global Carbon Markets Conference - Xingmiao Chen.pdf</t>
  </si>
  <si>
    <t>1895.000</t>
  </si>
  <si>
    <t>2023-11-06 to 2023-11-08</t>
  </si>
  <si>
    <t>kgCO2e/tonne</t>
  </si>
  <si>
    <t>4759: Déchets minéraux (sim=0.527)
4755: Déchets minéraux (sim=0.526)
4698: Déchets alimentaires (sim=0.517)
4762: Déchets minéraux (sim=0.514)</t>
  </si>
  <si>
    <t>Unit mismatch: invoice=美元(US Dollar), factor=tonne</t>
  </si>
  <si>
    <t>Factor: Déchets minéraux; Category: Traitement des déchets &gt; Archive (Valeurs obsolètes) &gt; Déchets minéraux &gt; Autres déchets minéraux; Contributor: ADEME; CO2e: 33.0; Unit: kgCO2e/tonne</t>
  </si>
  <si>
    <t>Marketing/SP/Invoice and documents attached confirming/Invoice-3213220825.pdf</t>
  </si>
  <si>
    <t>bus</t>
  </si>
  <si>
    <t>537: Autobus moyen (sim=0.735)
531: Autobus moyen (sim=0.735)
534: Autobus moyen (sim=0.735)
2809: Burger au poulet (sim=0.372)</t>
  </si>
  <si>
    <t>Marketing/SP/Invoice and documents attached confirming/INVOICEFLEXIBUS BASSEY ALEXANDER.pdf</t>
  </si>
  <si>
    <t>27/11/2024</t>
  </si>
  <si>
    <t>bus / Economy</t>
  </si>
  <si>
    <t>489: Autobus (sim=0.759)
498: Autobus (sim=0.757)
495: Autobus (sim=0.756)
501: Autobus (sim=0.754)</t>
  </si>
  <si>
    <t>Marketing/SP/Invoice and documents attached confirming/Ticket-Biarritz-Bilbao-3213221552 (1).pdf</t>
  </si>
  <si>
    <t>489: Autobus (sim=0.760)
498: Autobus (sim=0.758)
495: Autobus (sim=0.757)
504: Autobus (sim=0.755)</t>
  </si>
  <si>
    <t>Marketing/SP/Invoice and documents attached confirming/Ticket-Bilbao-Biarritz-3213218692.pdf</t>
  </si>
  <si>
    <t>Spain, France</t>
  </si>
  <si>
    <t>Bus / Adult Seat</t>
  </si>
  <si>
    <t>489: Autobus (sim=0.749)
531: Autobus moyen (sim=0.748)
537: Autobus moyen (sim=0.747)
498: Autobus (sim=0.747)</t>
  </si>
  <si>
    <t>Marketing/SP/Invoice and documents attached confirming/Voucher-3213218692.pdf</t>
  </si>
  <si>
    <t>kgCO2e/GJ PCI</t>
  </si>
  <si>
    <t>8176: Fioul à base de carbone recyclé (sim=0.515)
8173: Fioul à base de carbone recyclé (sim=0.514)
8177: Fioul à base de carbone recyclé (sim=0.508)
8178: Fioul à base de carbone recyclé (sim=0.507)</t>
  </si>
  <si>
    <t>Unit mismatch: invoice=欧元(Euro), factor=GJ PCI</t>
  </si>
  <si>
    <t>Factor: Fioul à base de carbone recyclé; Category: Combustibles &gt; Fossiles &gt; Liquides &gt; Usage source fixe; Contributor: VALORTEC; CO2e: 806.0; Unit: kgCO2e/GJ PCI</t>
  </si>
  <si>
    <t>Marketing/SP/RCN5YJBYPY.pdf</t>
  </si>
  <si>
    <t>2024-12-02 to 2024-12-05</t>
  </si>
  <si>
    <t>16212: Services d'hébergement et de restauration - 2023 (sim=0.465)
16208: Services d'hébergement et de restauration - 2019 (sim=0.463)
16209: Services d'hébergement et de restauration - 2020 (sim=0.462)
16210: Services d'hébergement et de restauration - 2021 (sim=0.461)</t>
  </si>
  <si>
    <t>Marketing/Vivatech/Abssey-Vivatech-hotel.pdf</t>
  </si>
  <si>
    <t>2024-05-21</t>
  </si>
  <si>
    <t>16208: Services d'hébergement et de restauration - 2019 (sim=0.486)
16211: Services d'hébergement et de restauration - 2022 (sim=0.486)
16209: Services d'hébergement et de restauration - 2020 (sim=0.485)
16210: Services d'hébergement et de restauration - 2021 (sim=0.483)</t>
  </si>
  <si>
    <t>Marketing/Vivatech/ABssey-Vivatech.pdf</t>
  </si>
  <si>
    <t>103.182</t>
  </si>
  <si>
    <t>20/05/2024 19:47:51</t>
  </si>
  <si>
    <t>17088: TGV, Train Grande Vitesse (sim=0.646)
17540: Train de voyageurs (sim=0.646)
17532: Train de voyageurs (sim=0.645)
17524: Train de voyageurs (sim=0.645)</t>
  </si>
  <si>
    <t>Marketing/Vivatech/FactureHoteltaxesday1day2 16euros26.pdf</t>
  </si>
  <si>
    <t>16211: Services d'hébergement et de restauration - 2022 (sim=0.459)
16212: Services d'hébergement et de restauration - 2023 (sim=0.459)
16209: Services d'hébergement et de restauration - 2020 (sim=0.459)
16210: Services d'hébergement et de restauration - 2021 (sim=0.457)</t>
  </si>
  <si>
    <t>Factor: Services d'hébergement et de restauration - 2019; Category: Achats de services &gt; Ratios monétaires; Contributor: SDES/INSEE; CO2e: 268.0; Unit: kgCO2e/keuro (2019) HT</t>
  </si>
  <si>
    <t>Marketing/Vivatech/Invoice RYANAIR BASSEY ALEXANDER  October 3-12.pdf</t>
  </si>
  <si>
    <t>air / Economy</t>
  </si>
  <si>
    <t>822: Avion (voyageurs) (sim=0.780)
830: Avion (voyageurs) (sim=0.780)
850: Avion (voyageurs) (sim=0.780)
826: Avion (voyageurs) (sim=0.779)</t>
  </si>
  <si>
    <t>Factor: Avion (voyageurs); Category: Transport de personnes &gt; Aérien &gt; Archive (Valeurs obsolètes) &gt; Capacité de plus de 250 sièges; Contributor: ADEME; CO2e: 118.0; Unit: kgCO2e/passager.km</t>
  </si>
  <si>
    <t>Marketing/Wetland Convention/Hotel.pdf</t>
  </si>
  <si>
    <t>260.516</t>
  </si>
  <si>
    <t>night</t>
  </si>
  <si>
    <t>2024-06-02 to 2024-06-08</t>
  </si>
  <si>
    <t>accommodation / Bed in 6-Bed Mixed Dormitory Room</t>
  </si>
  <si>
    <t>16211: Services d'hébergement et de restauration - 2022 (sim=0.437)
16212: Services d'hébergement et de restauration - 2023 (sim=0.436)
16209: Services d'hébergement et de restauration - 2020 (sim=0.436)
16210: Services d'hébergement et de restauration - 2021 (sim=0.433)</t>
  </si>
  <si>
    <t>Unit mismatch: invoice=guest night(guest night), factor=keuro (2019) HT</t>
  </si>
  <si>
    <t>Marketing/Wetland Convention/SC63 travel cost.pdf</t>
  </si>
  <si>
    <t>15.450</t>
  </si>
  <si>
    <t>2024-06-08</t>
  </si>
  <si>
    <t>489: Autobus (sim=0.760)
495: Autobus (sim=0.757)
498: Autobus (sim=0.756)
501: Autobus (sim=0.755)</t>
  </si>
  <si>
    <t>Others/Alexander expenses/Telephone/Bill Bassey July from 19 to 55.pdf</t>
  </si>
  <si>
    <t>45.980</t>
  </si>
  <si>
    <t>2024-07-13</t>
  </si>
  <si>
    <t>16256: Services de télécommunications - 2022 (sim=0.408)
16257: Services de télécommunications - 2023 (sim=0.408)
16254: Services de télécommunications - 2020 (sim=0.407)
16255: Services de télécommunications - 2021 (sim=0.406)</t>
  </si>
  <si>
    <t>16253: Services de télécommunications - 2019 (sim=0.579)
16256: Services de télécommunications - 2022 (sim=0.579)
16254: Services de télécommunications - 2020 (sim=0.577)
16255: Services de télécommunications - 2021 (sim=0.575)</t>
  </si>
  <si>
    <t>Others/Alexander expenses/Telephone/Facture Free.pdf</t>
  </si>
  <si>
    <t>2024-06-02</t>
  </si>
  <si>
    <t>16253: Services de télécommunications - 2019 (sim=0.394)
16257: Services de télécommunications - 2023 (sim=0.394)
16254: Services de télécommunications - 2020 (sim=0.393)
16255: Services de télécommunications - 2021 (sim=0.392)</t>
  </si>
  <si>
    <t>Factor: Services de télécommunications - 2022; Category: Achats de services &gt; Ratios monétaires; Contributor: SDES/INSEE; CO2e: 140.0; Unit: kgCO2e/keuro (2022) HT</t>
  </si>
  <si>
    <t>Others/Alexander expenses/Telephone/facture September FREE MOBILE ALEXANDER BASSEY 19.99 to 56.07.pdf</t>
  </si>
  <si>
    <t>Others/Alexander expenses/Telephone/FREE INTERNET BILL SEPTEMBER ALEXANDER BASSEY.pdf</t>
  </si>
  <si>
    <t>16253: Services de télécommunications - 2019 (sim=0.403)
16257: Services de télécommunications - 2023 (sim=0.403)
16254: Services de télécommunications - 2020 (sim=0.401)
16255: Services de télécommunications - 2021 (sim=0.401)</t>
  </si>
  <si>
    <t>Others/Alexander expenses/Telephone/FREE INTERNET NOVEMBER BASSEY ALEXANDER.pdf</t>
  </si>
  <si>
    <t>telecommunications service subscription (Freebox Delta)</t>
  </si>
  <si>
    <t>16253: Services de télécommunications - 2019 (sim=0.380)
16257: Services de télécommunications - 2023 (sim=0.380)
16254: Services de télécommunications - 2020 (sim=0.379)
16255: Services de télécommunications - 2021 (sim=0.378)</t>
  </si>
  <si>
    <t>Unit mismatch: invoice=month, factor=keuro (2022) HT</t>
  </si>
  <si>
    <t>Others/Alexander expenses/Telephone/FREE INTERNET OCTOBER BASSEY ALEXANDER.pdf</t>
  </si>
  <si>
    <t>16256: Services de télécommunications - 2022 (sim=0.542)
16253: Services de télécommunications - 2019 (sim=0.541)
16257: Services de télécommunications - 2023 (sim=0.541)
16254: Services de télécommunications - 2020 (sim=0.538)</t>
  </si>
  <si>
    <t>Others/Alexander expenses/Telephone/FREE internetAUGUSTBASSEY ALEXANDER.pdf</t>
  </si>
  <si>
    <t>2024-08-02</t>
  </si>
  <si>
    <t>16256: Services de télécommunications - 2022 (sim=0.558)
16257: Services de télécommunications - 2023 (sim=0.558)
16254: Services de télécommunications - 2020 (sim=0.556)
16255: Services de télécommunications - 2021 (sim=0.555)</t>
  </si>
  <si>
    <t>Others/Alexander expenses/Telephone/Free July 2024.pdf</t>
  </si>
  <si>
    <t>16253: Services de télécommunications - 2019 (sim=0.406)
16257: Services de télécommunications - 2023 (sim=0.405)
16254: Services de télécommunications - 2020 (sim=0.404)
16255: Services de télécommunications - 2021 (sim=0.403)</t>
  </si>
  <si>
    <t>Others/Alexander expenses/Telephone/Free June 2024.pdf</t>
  </si>
  <si>
    <t>Telecommunications services (broadband internet subscription)</t>
  </si>
  <si>
    <t>16257: Services de télécommunications - 2023 (sim=0.401)
16253: Services de télécommunications - 2019 (sim=0.401)
16254: Services de télécommunications - 2020 (sim=0.400)
16255: Services de télécommunications - 2021 (sim=0.400)</t>
  </si>
  <si>
    <t>Others/Alexander expenses/Telephone/FreeboxBillDecemberBasseyAlexander.pdf</t>
  </si>
  <si>
    <t>16256: Services de télécommunications - 2022 (sim=0.559)
16257: Services de télécommunications - 2023 (sim=0.558)
16254: Services de télécommunications - 2020 (sim=0.557)
16255: Services de télécommunications - 2021 (sim=0.556)</t>
  </si>
  <si>
    <t>Others/Alexander expenses/Telephone/InternetNovember2024.pdf</t>
  </si>
  <si>
    <t>16257: Services de télécommunications - 2023 (sim=0.588)
16253: Services de télécommunications - 2019 (sim=0.587)
16254: Services de télécommunications - 2020 (sim=0.585)
16255: Services de télécommunications - 2021 (sim=0.584)</t>
  </si>
  <si>
    <t>Others/Alexander expenses/Telephone/Invoice June-July PHONE.pdf</t>
  </si>
  <si>
    <t>employee expense reimbursement - mobile phone charges</t>
  </si>
  <si>
    <t>35.190</t>
  </si>
  <si>
    <t>23/07/2024</t>
  </si>
  <si>
    <t>17676: Trajet domicile travail (sim=0.493)
3990: Climatiseur mobile (sim=0.492)
3991: Climatiseur mobile (sim=0.492)
3992: Climatiseur mobile (sim=0.492)</t>
  </si>
  <si>
    <t>Factor: Climatiseur mobile; Category: Achats de biens &gt; Machines et équipements &gt; Electroménager; Contributor: ADEME; Source: ADEME. J.Lhotellier RDC Environment. Décembre 2019. Modélisation et évaluation environnementale de p; CO2e: 170.0; Unit: kgCO2e/unité</t>
  </si>
  <si>
    <t>Others/Alexander expenses/Telephone/Invoice RYANAIR BASSEY ALEXANDER  October 3-12.pdf</t>
  </si>
  <si>
    <t>850: Avion (voyageurs) (sim=0.778)
830: Avion (voyageurs) (sim=0.778)
826: Avion (voyageurs) (sim=0.778)
822: Avion (voyageurs) (sim=0.777)</t>
  </si>
  <si>
    <t>Others/Alexander expenses/Telephone/INVOICEALEXANDERBASSEYAUGUST FREE INTERNET.pdf</t>
  </si>
  <si>
    <t>2024-08-27</t>
  </si>
  <si>
    <t>16183: Service (sim=0.585)
16257: Services de télécommunications - 2023 (sim=0.583)
16256: Services de télécommunications - 2022 (sim=0.582)
16254: Services de télécommunications - 2020 (sim=0.581)</t>
  </si>
  <si>
    <t>Others/Alexander expenses/Telephone/INVOICEALEXANDERBASSEYFREE MOBILE SUR COUT APPELs.pdf</t>
  </si>
  <si>
    <t>telecommunications services (mobile phone surcharge)</t>
  </si>
  <si>
    <t>36.080</t>
  </si>
  <si>
    <t>16253: Services de télécommunications - 2019 (sim=0.411)
16256: Services de télécommunications - 2022 (sim=0.410)
16254: Services de télécommunications - 2020 (sim=0.410)
16255: Services de télécommunications - 2021 (sim=0.409)</t>
  </si>
  <si>
    <t>Others/Alexander expenses/Telephone/INVOICEALEXANDERBASSEYNovembre FREE INTERNET.pdf</t>
  </si>
  <si>
    <t>2024-11-25</t>
  </si>
  <si>
    <t>16257: Services de télécommunications - 2023 (sim=0.592)
16256: Services de télécommunications - 2022 (sim=0.592)
16183: Service (sim=0.591)
16254: Services de télécommunications - 2020 (sim=0.590)</t>
  </si>
  <si>
    <t>25/11/2024</t>
  </si>
  <si>
    <t>16253: Services de télécommunications - 2019 (sim=0.571)
16256: Services de télécommunications - 2022 (sim=0.567)
16257: Services de télécommunications - 2023 (sim=0.567)
16254: Services de télécommunications - 2020 (sim=0.566)</t>
  </si>
  <si>
    <t>Unit mismatch: invoice=month, factor=keuro (2019) HT</t>
  </si>
  <si>
    <t>Others/Alexander expenses/Telephone/INVOICEALEXANDERBASSEYRYAN AIR LONDRES - 3 -12Oct.pdf</t>
  </si>
  <si>
    <t>850: Avion (voyageurs) (sim=0.776)
826: Avion (voyageurs) (sim=0.775)
830: Avion (voyageurs) (sim=0.775)
834: Avion (voyageurs) (sim=0.775)</t>
  </si>
  <si>
    <t>Others/Alexander expenses/Telephone/INVOICEALEXANDERBASSEYSeptember FREE INTERNET.pdf</t>
  </si>
  <si>
    <t>16183: Service (sim=0.555)
16256: Services de télécommunications - 2022 (sim=0.552)
16257: Services de télécommunications - 2023 (sim=0.551)
16254: Services de télécommunications - 2020 (sim=0.549)</t>
  </si>
  <si>
    <t>Others/Alexander expenses/Telephone/Phone bill with EXTRA paid to work calls - Bassey 45.98  and VAT instead of 19.99.pdf</t>
  </si>
  <si>
    <t>16253: Services de télécommunications - 2019 (sim=0.394)
16256: Services de télécommunications - 2022 (sim=0.393)
16254: Services de télécommunications - 2020 (sim=0.393)
16255: Services de télécommunications - 2021 (sim=0.391)</t>
  </si>
  <si>
    <t>Projet/Invoice Verra.pdf</t>
  </si>
  <si>
    <t>500.000</t>
  </si>
  <si>
    <t>16160: Service (sim=0.527)
16153: Service (sim=0.525)
16181: Service (sim=0.521)
16162: Service (sim=0.520)</t>
  </si>
  <si>
    <t>Unit mismatch: invoice=美元(US Dollar), factor=keuro; Selected factor is monetary or lacks activity denominator; review.</t>
  </si>
  <si>
    <t>Projet/listing Invoice.pdf</t>
  </si>
  <si>
    <t>1000.000</t>
  </si>
  <si>
    <t>2024-10-16</t>
  </si>
  <si>
    <t>4137: Combustible haute viscosité (CHV) (sim=0.496)
4142: Combustible haute viscosité (CHV) (sim=0.495)
4143: Combustible haute viscosité (CHV) (sim=0.495)
4139: Combustible haute viscosité (CHV) (sim=0.494)</t>
  </si>
  <si>
    <t>Unit mismatch: invoice=美元(US Dollar), factor=GJ PCI</t>
  </si>
  <si>
    <t>Factor: Combustible haute viscosité (CHV); Category: Combustibles &gt; Fossiles &gt; Liquides &gt; Usage source fixe; Contributor: ADEME; CO2e: 805.0; Unit: kgCO2e/GJ PCI</t>
  </si>
  <si>
    <t>Restauration Hotel/32CB2D13@8CDAA475.3B987F67.png</t>
  </si>
  <si>
    <t>16208: Services d'hébergement et de restauration - 2019 (sim=0.499)
16211: Services d'hébergement et de restauration - 2022 (sim=0.499)
16210: Services d'hébergement et de restauration - 2021 (sim=0.498)
16209: Services d'hébergement et de restauration - 2020 (sim=0.498)</t>
  </si>
  <si>
    <t>Restauration Hotel/C3062801@C8D1283F.3B987F67.png</t>
  </si>
  <si>
    <t>211.150</t>
  </si>
  <si>
    <t>China</t>
  </si>
  <si>
    <t>2024-11-28</t>
  </si>
  <si>
    <t>16211: Services d'hébergement et de restauration - 2022 (sim=0.450)
16208: Services d'hébergement et de restauration - 2019 (sim=0.450)
16210: Services d'hébergement et de restauration - 2021 (sim=0.449)
16209: Services d'hébergement et de restauration - 2020 (sim=0.449)</t>
  </si>
  <si>
    <t>Restauration Hotel/Image.jpeg</t>
  </si>
  <si>
    <t>18.990</t>
  </si>
  <si>
    <t>2024-05-15</t>
  </si>
  <si>
    <t>16211: Services d'hébergement et de restauration - 2022 (sim=0.447)
16212: Services d'hébergement et de restauration - 2023 (sim=0.446)
16209: Services d'hébergement et de restauration - 2020 (sim=0.445)
16210: Services d'hébergement et de restauration - 2021 (sim=0.444)</t>
  </si>
  <si>
    <t>Restauration Hotel/receipt-La Felicita-2024-04-109-13-11.pdf</t>
  </si>
  <si>
    <t>34.550</t>
  </si>
  <si>
    <t>16208: Services d'hébergement et de restauration - 2019 (sim=0.518)
16211: Services d'hébergement et de restauration - 2022 (sim=0.517)
16209: Services d'hébergement et de restauration - 2020 (sim=0.516)
16210: Services d'hébergement et de restauration - 2021 (sim=0.515)</t>
  </si>
  <si>
    <t>Tech/Cloud/EUINFR24-469156.pdf</t>
  </si>
  <si>
    <t>Cloud computing services (Amazon Elastic Compute Cloud)</t>
  </si>
  <si>
    <t>13117: Programmation, conseil IT / Services d'information – 2020 (sim=0.447)
13120: Programmation, conseil IT / Services d'information – 2023 (sim=0.447)
13116: Programmation, conseil IT / Services d'information – 2019 (sim=0.445)
13119: Programmation, conseil IT / Services d'information – 2022 (sim=0.444)</t>
  </si>
  <si>
    <t>Tech/Cloud/G029765146_Invoice.pdf</t>
  </si>
  <si>
    <t>60.480</t>
  </si>
  <si>
    <t>2023-10-05</t>
  </si>
  <si>
    <t>16204: Services d'architecture et d'ingénierie/ services de contrôle et analyses techniques - 2020 (sim=0.355)
16205: Services d'architecture et d'ingénierie/ services de contrôle et analyses techniques - 2021 (sim=0.355)
16203: Services d'architecture et d'ingénierie/ services de contrôle et analyses techniques - 2019 (sim=0.355)
16207: Services d'architecture et d'ingénierie/ services de contrôle et analyses techniques - 2023 (sim=0.354)</t>
  </si>
  <si>
    <t>Tech/Developement durable/Facture_Adhesion24_DTMasterCarbon_F-24-09-21.pdf</t>
  </si>
  <si>
    <t>service - club membership including biodiversity credits</t>
  </si>
  <si>
    <t>7250.000</t>
  </si>
  <si>
    <t>16291: Services sportifs, récréatifs et de loisirs - 2022 (sim=0.538)
16152: Service (sim=0.538)
16150: Service (sim=0.534)
16289: Services sportifs, récréatifs et de loisirs - 2020 (sim=0.533)</t>
  </si>
  <si>
    <t>Factor: Services sportifs, récréatifs et de loisirs - 2023; Category: Achats de services &gt; Ratios monétaires; Contributor: SDES/INSEE; CO2e: 191.0; Unit: kgCO2e/keuro (2023) HT</t>
  </si>
  <si>
    <t>Tech/Docusign/DT Master Carbon SAS Statement.pdf</t>
  </si>
  <si>
    <t>2024-11-23</t>
  </si>
  <si>
    <t>13116: Programmation, conseil IT / Services d'information – 2019 (sim=0.447)
13117: Programmation, conseil IT / Services d'information – 2020 (sim=0.447)
16206: Services d'architecture et d'ingénierie/ services de contrôle et analyses techniques - 2022 (sim=0.338)
16203: Services d'architecture et d'ingénierie/ services de contrôle et analyses techniques - 2019 (sim=0.337)</t>
  </si>
  <si>
    <t>Tech/Location matateriaux/contrat dt master carbon.pdf</t>
  </si>
  <si>
    <t>2024-07-15</t>
  </si>
  <si>
    <t>16233: Services de réparation d'ordinateurs et de biens personnels et domestiques - 2019 (sim=0.363)
16234: Services de réparation d'ordinateurs et de biens personnels et domestiques - 2020 (sim=0.362)
16236: Services de réparation d'ordinateurs et de biens personnels et domestiques - 2022 (sim=0.362)
16235: Services de réparation d'ordinateurs et de biens personnels et domestiques - 2021 (sim=0.362)</t>
  </si>
  <si>
    <t>Unit mismatch: invoice=EUR/month, factor=keuro (2023) HT</t>
  </si>
  <si>
    <t>Tech/Otter/Invoice-3D9C0472-0001.pdf</t>
  </si>
  <si>
    <t>16.990</t>
  </si>
  <si>
    <t>13120: Programmation, conseil IT / Services d'information – 2023 (sim=0.428)
13119: Programmation, conseil IT / Services d'information – 2022 (sim=0.428)
13116: Programmation, conseil IT / Services d'information – 2019 (sim=0.427)
13118: Programmation, conseil IT / Services d'information – 2021 (sim=0.426)</t>
  </si>
  <si>
    <t>Tech/Otter/Invoice-3D9C0472-0002.pdf</t>
  </si>
  <si>
    <t>9.060</t>
  </si>
  <si>
    <t>13117: Programmation, conseil IT / Services d'information – 2020 (sim=0.421)
13119: Programmation, conseil IT / Services d'information – 2022 (sim=0.420)
13116: Programmation, conseil IT / Services d'information – 2019 (sim=0.420)
13118: Programmation, conseil IT / Services d'information – 2021 (sim=0.417)</t>
  </si>
  <si>
    <t>Tech/Otter/Invoice-3D9C0472-0003.pdf</t>
  </si>
  <si>
    <t>5.660</t>
  </si>
  <si>
    <t>592: Autres services spécialisés, scientifiques et techniques - 2023 (sim=0.314)
588: Autres services spécialisés, scientifiques et techniques - 2019 (sim=0.314)
591: Autres services spécialisés, scientifiques et techniques - 2022 (sim=0.314)
589: Autres services spécialisés, scientifiques et techniques - 2020 (sim=0.313)</t>
  </si>
  <si>
    <t>Factor: Autres services spécialisés, scientifiques et techniques - 2023; Category: Achats de services &gt; Ratios monétaires; Contributor: SDES/INSEE; CO2e: 110.0; Unit: kgCO2e/keuro (2023) HT</t>
  </si>
  <si>
    <t>Tech/Otter/Invoice-3D9C0472-0004.pdf</t>
  </si>
  <si>
    <t>13117: Programmation, conseil IT / Services d'information – 2020 (sim=0.444)
13119: Programmation, conseil IT / Services d'information – 2022 (sim=0.443)
13116: Programmation, conseil IT / Services d'information – 2019 (sim=0.443)
13118: Programmation, conseil IT / Services d'information – 2021 (sim=0.441)</t>
  </si>
  <si>
    <t>Tech/Otter/Invoice-3D9C0472-0005.pdf</t>
  </si>
  <si>
    <t>21.920</t>
  </si>
  <si>
    <t>592: Autres services spécialisés, scientifiques et techniques - 2023 (sim=0.316)
591: Autres services spécialisés, scientifiques et techniques - 2022 (sim=0.316)
588: Autres services spécialisés, scientifiques et techniques - 2019 (sim=0.316)
589: Autres services spécialisés, scientifiques et techniques - 2020 (sim=0.315)</t>
  </si>
  <si>
    <t>Tech/Otter/Invoice-3D9C0472-0006.pdf</t>
  </si>
  <si>
    <t>588: Autres services spécialisés, scientifiques et techniques - 2019 (sim=0.312)
592: Autres services spécialisés, scientifiques et techniques - 2023 (sim=0.312)
591: Autres services spécialisés, scientifiques et techniques - 2022 (sim=0.312)
589: Autres services spécialisés, scientifiques et techniques - 2020 (sim=0.311)</t>
  </si>
  <si>
    <t>Factor: Autres services spécialisés, scientifiques et techniques - 2019; Category: Achats de services &gt; Ratios monétaires; Contributor: SDES/INSEE; CO2e: 145.0; Unit: kgCO2e/keuro (2019) HT</t>
  </si>
  <si>
    <t>Tech/Tech/Invoice DT Master-240808DT_1.pdf</t>
  </si>
  <si>
    <t>4138.170</t>
  </si>
  <si>
    <t>2024-08-13</t>
  </si>
  <si>
    <t>10840: Machines et équipements - 2023 (sim=0.540)
4791: DEEE (sim=0.539)
10839: Machines et équipements - 2022 (sim=0.538)
554: Autres matériels de transport - 2023 (sim=0.538)</t>
  </si>
  <si>
    <t>Factor: Machines et équipements - 2023; Category: Achats de biens &gt; Ratios monétaires; Contributor: SDES/INSEE; CO2e: 273.0; Unit: kgCO2e/keuro (2023) HT</t>
  </si>
  <si>
    <t>Tech/Tech/Zhangqi.pdf</t>
  </si>
  <si>
    <t>service - software development (R&amp;D and technical services)</t>
  </si>
  <si>
    <t>22174.530</t>
  </si>
  <si>
    <t>2024-06-03</t>
  </si>
  <si>
    <t>16203: Services d'architecture et d'ingénierie/ services de contrôle et analyses techniques - 2019 (sim=0.352)
16206: Services d'architecture et d'ingénierie/ services de contrôle et analyses techniques - 2022 (sim=0.352)
16204: Services d'architecture et d'ingénierie/ services de contrôle et analyses techniques - 2020 (sim=0.351)
16205: Services d'architecture et d'ingénierie/ services de contrôle et analyses techniques - 2021 (sim=0.350)</t>
  </si>
  <si>
    <t>Unit mismatch: invoice=人民币(Chinese Yuan), factor=keuro (2023) HT</t>
  </si>
  <si>
    <t>Tech/UX UI/Abigail.pdf</t>
  </si>
  <si>
    <t>Professional services invoice - UI/UX design, UX research, and graphic design</t>
  </si>
  <si>
    <t>16203: Services d'architecture et d'ingénierie/ services de contrôle et analyses techniques - 2019 (sim=0.322)
16206: Services d'architecture et d'ingénierie/ services de contrôle et analyses techniques - 2022 (sim=0.321)
16205: Services d'architecture et d'ingénierie/ services de contrôle et analyses techniques - 2021 (sim=0.321)
16207: Services d'architecture et d'ingénierie/ services de contrôle et analyses techniques - 2023 (sim=0.320)</t>
  </si>
  <si>
    <t>Tech/UX UI/Emiliya.pdf</t>
  </si>
  <si>
    <t>585.000</t>
  </si>
  <si>
    <t>Ukraine</t>
  </si>
  <si>
    <t>26.10.2024</t>
  </si>
  <si>
    <t>16206: Services d'architecture et d'ingénierie/ services de contrôle et analyses techniques - 2022 (sim=0.328)
16204: Services d'architecture et d'ingénierie/ services de contrôle et analyses techniques - 2020 (sim=0.328)
16207: Services d'architecture et d'ingénierie/ services de contrôle et analyses techniques - 2023 (sim=0.327)
16205: Services d'architecture et d'ingénierie/ services de contrôle et analyses techniques - 2021 (sim=0.327)</t>
  </si>
  <si>
    <t>services - commission fee</t>
    <phoneticPr fontId="13" type="noConversion"/>
  </si>
  <si>
    <t>km</t>
    <phoneticPr fontId="13" type="noConversion"/>
  </si>
  <si>
    <t>Travel - intercity bus tickets1</t>
    <phoneticPr fontId="13" type="noConversion"/>
  </si>
  <si>
    <t>Travel - intercity bus tickets2</t>
    <phoneticPr fontId="13" type="noConversion"/>
  </si>
  <si>
    <t>trainning</t>
    <phoneticPr fontId="13" type="noConversion"/>
  </si>
  <si>
    <t>trainning--christophe</t>
    <phoneticPr fontId="13" type="noConversion"/>
  </si>
  <si>
    <t>Services de l'enseignement - 2023</t>
    <phoneticPr fontId="13" type="noConversion"/>
  </si>
  <si>
    <t>kgCO₂e</t>
  </si>
  <si>
    <t>tranning-Jingxiao</t>
    <phoneticPr fontId="13" type="noConversion"/>
  </si>
  <si>
    <t>keuro (2023) HT</t>
    <phoneticPr fontId="13" type="noConversion"/>
  </si>
  <si>
    <t>accounting</t>
    <phoneticPr fontId="13" type="noConversion"/>
  </si>
  <si>
    <t>Services juridiques et comptables/ services des sièges sociaux/ conseil de gestion - 2023</t>
    <phoneticPr fontId="13" type="noConversion"/>
  </si>
  <si>
    <t>accounting--service invoice</t>
    <phoneticPr fontId="13" type="noConversion"/>
  </si>
  <si>
    <t>IT-Freelancer</t>
    <phoneticPr fontId="13" type="noConversion"/>
  </si>
  <si>
    <t>services - IT</t>
    <phoneticPr fontId="13" type="noConversion"/>
  </si>
  <si>
    <t>services--IT</t>
    <phoneticPr fontId="13" type="noConversion"/>
  </si>
  <si>
    <t>design services--IT</t>
    <phoneticPr fontId="13" type="noConversion"/>
  </si>
  <si>
    <t>service - monthly stipend1</t>
    <phoneticPr fontId="13" type="noConversion"/>
  </si>
  <si>
    <t>service - monthly stipend2</t>
    <phoneticPr fontId="13" type="noConversion"/>
  </si>
  <si>
    <t>service - monthly stipend3</t>
    <phoneticPr fontId="13" type="noConversion"/>
  </si>
  <si>
    <t>service - monthly stipend4</t>
    <phoneticPr fontId="13" type="noConversion"/>
  </si>
  <si>
    <t>service - monthly stipend5</t>
    <phoneticPr fontId="13" type="noConversion"/>
  </si>
  <si>
    <t>service - monthly stipend6</t>
    <phoneticPr fontId="13" type="noConversion"/>
  </si>
  <si>
    <t>service - monthly stipend7</t>
    <phoneticPr fontId="13" type="noConversion"/>
  </si>
  <si>
    <t>Freelancer1</t>
    <phoneticPr fontId="13" type="noConversion"/>
  </si>
  <si>
    <t>Freelancer2</t>
  </si>
  <si>
    <t>labor services - Madagascar</t>
    <phoneticPr fontId="13" type="noConversion"/>
  </si>
  <si>
    <t>freelance-- Madagascar</t>
    <phoneticPr fontId="13" type="noConversion"/>
  </si>
  <si>
    <t>services--freelancer</t>
    <phoneticPr fontId="13" type="noConversion"/>
  </si>
  <si>
    <t>Marketing development services1</t>
    <phoneticPr fontId="13" type="noConversion"/>
  </si>
  <si>
    <t>marketing development services2</t>
    <phoneticPr fontId="13" type="noConversion"/>
  </si>
  <si>
    <t>Marketing development services3</t>
    <phoneticPr fontId="13" type="noConversion"/>
  </si>
  <si>
    <t>Marketing development services4</t>
    <phoneticPr fontId="13" type="noConversion"/>
  </si>
  <si>
    <t>services--IT Freelancer</t>
    <phoneticPr fontId="13" type="noConversion"/>
  </si>
  <si>
    <t xml:space="preserve">Professional services - technical leadership </t>
    <phoneticPr fontId="13" type="noConversion"/>
  </si>
  <si>
    <t>Programmation, conseil IT / Services d'information – 2023</t>
    <phoneticPr fontId="13" type="noConversion"/>
  </si>
  <si>
    <t>professional services--it-yuanfang1</t>
    <phoneticPr fontId="13" type="noConversion"/>
  </si>
  <si>
    <t>professional services--it-yuanfang2</t>
  </si>
  <si>
    <t>professional services--it-yuanfang3</t>
  </si>
  <si>
    <t>professional services--it-yuanfang4</t>
  </si>
  <si>
    <t>professional services--it-yuanfang5</t>
  </si>
  <si>
    <t>professional services--it-yuanfang6</t>
  </si>
  <si>
    <t>coworking desk rental1</t>
    <phoneticPr fontId="13" type="noConversion"/>
  </si>
  <si>
    <t>coworking desk rental2</t>
  </si>
  <si>
    <t>coworking desk rental3</t>
  </si>
  <si>
    <t>coworking desk rental4</t>
  </si>
  <si>
    <t>coworking desk rental5</t>
  </si>
  <si>
    <t>coworking desk rental6</t>
  </si>
  <si>
    <t>coworking desk rental7</t>
  </si>
  <si>
    <t>coworking desk rental10</t>
  </si>
  <si>
    <t>coworking desk rental11</t>
  </si>
  <si>
    <t>coworking desk rental12</t>
  </si>
  <si>
    <t>coworking desk rental13</t>
  </si>
  <si>
    <t>coworking desk rental14</t>
  </si>
  <si>
    <t>business cons</t>
    <phoneticPr fontId="13" type="noConversion"/>
  </si>
  <si>
    <t>Services immobiliers - 2023</t>
  </si>
  <si>
    <t>coworking desk rental8</t>
    <phoneticPr fontId="13" type="noConversion"/>
  </si>
  <si>
    <t>Navigo yearly pass</t>
    <phoneticPr fontId="13" type="noConversion"/>
  </si>
  <si>
    <t>Navigo monthly pass</t>
    <phoneticPr fontId="13" type="noConversion"/>
  </si>
  <si>
    <t>coworking desk rental9</t>
    <phoneticPr fontId="13" type="noConversion"/>
  </si>
  <si>
    <t>Services de télécommunications - 2023</t>
    <phoneticPr fontId="13" type="noConversion"/>
  </si>
  <si>
    <t>Train de voyageurs</t>
    <phoneticPr fontId="13" type="noConversion"/>
  </si>
  <si>
    <t>train ticket--London-airport1</t>
    <phoneticPr fontId="13" type="noConversion"/>
  </si>
  <si>
    <t>train ticket--London-airport2</t>
    <phoneticPr fontId="13" type="noConversion"/>
  </si>
  <si>
    <t>internet service--telecommunications</t>
    <phoneticPr fontId="13" type="noConversion"/>
  </si>
  <si>
    <t>Service – annual membership (club) bio</t>
    <phoneticPr fontId="13" type="noConversion"/>
  </si>
  <si>
    <t>Services de publicité et d'études de marché - 2023</t>
    <phoneticPr fontId="13" type="noConversion"/>
  </si>
  <si>
    <t>airline ticket--londre-paris</t>
    <phoneticPr fontId="13" type="noConversion"/>
  </si>
  <si>
    <t>travel--train--milan--basel</t>
    <phoneticPr fontId="13" type="noConversion"/>
  </si>
  <si>
    <t>travel - air-china</t>
    <phoneticPr fontId="13" type="noConversion"/>
  </si>
  <si>
    <t>passager.km</t>
    <phoneticPr fontId="13" type="noConversion"/>
  </si>
  <si>
    <t>unit</t>
    <phoneticPr fontId="13" type="noConversion"/>
  </si>
  <si>
    <t xml:space="preserve">Gâteau </t>
    <phoneticPr fontId="13" type="noConversion"/>
  </si>
  <si>
    <t>Agences de voyage, voyagistes, réservations – 2023</t>
    <phoneticPr fontId="13" type="noConversion"/>
  </si>
  <si>
    <t>travel - rail</t>
    <phoneticPr fontId="13" type="noConversion"/>
  </si>
  <si>
    <t>Services d'hébergement et de restauration - 2022</t>
    <phoneticPr fontId="13" type="noConversion"/>
  </si>
  <si>
    <t xml:space="preserve">employee expense reimbursement - mobile phone </t>
    <phoneticPr fontId="13" type="noConversion"/>
  </si>
  <si>
    <t>kgCO2e/unité</t>
    <phoneticPr fontId="13" type="noConversion"/>
  </si>
  <si>
    <t>Ordinateur</t>
    <phoneticPr fontId="13" type="noConversion"/>
  </si>
  <si>
    <t>Software development</t>
    <phoneticPr fontId="13" type="noConversion"/>
  </si>
  <si>
    <t xml:space="preserve">kg </t>
    <phoneticPr fontId="13" type="noConversion"/>
  </si>
  <si>
    <t>trainning1</t>
    <phoneticPr fontId="13" type="noConversion"/>
  </si>
  <si>
    <t>trainning2</t>
    <phoneticPr fontId="13" type="noConversion"/>
  </si>
  <si>
    <t>professional services - presentation design</t>
    <phoneticPr fontId="13" type="noConversion"/>
  </si>
  <si>
    <t>tranning3</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</si>
</sst>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Calibri"/>
      <charset val="134"/>
      <scheme val="minor"/>
    </font>
    <font>
      <b/>
      <sz val="11"/>
      <color theme="1"/>
      <name val="黑体"/>
      <family val="3"/>
      <charset val="134"/>
    </font>
    <font>
      <sz val="10"/>
      <color theme="1"/>
      <name val="Calibri"/>
      <family val="4"/>
      <charset val="134"/>
      <scheme val="minor"/>
    </font>
    <font>
      <sz val="10.5"/>
      <color theme="1"/>
      <name val="Calibri"/>
      <family val="4"/>
      <charset val="134"/>
      <scheme val="minor"/>
    </font>
    <font>
      <sz val="9"/>
      <color theme="1"/>
      <name val="Calibri"/>
      <family val="4"/>
      <charset val="134"/>
      <scheme val="minor"/>
    </font>
    <font>
      <b/>
      <sz val="9"/>
      <color theme="1"/>
      <name val="黑体"/>
      <family val="3"/>
      <charset val="134"/>
    </font>
    <font>
      <sz val="9"/>
      <name val="Calibri"/>
      <family val="4"/>
      <charset val="134"/>
      <scheme val="minor"/>
    </font>
    <font>
      <sz val="9"/>
      <color rgb="FFFF0000"/>
      <name val="Calibri"/>
      <family val="4"/>
      <charset val="134"/>
      <scheme val="minor"/>
    </font>
    <font>
      <sz val="12"/>
      <color theme="1"/>
      <name val="Calibri"/>
      <family val="2"/>
    </font>
    <font>
      <sz val="10"/>
      <color theme="1"/>
      <name val="Arial"/>
      <family val="2"/>
    </font>
    <font>
      <sz val="11"/>
      <color rgb="FF424242"/>
      <name val="Arial"/>
      <family val="2"/>
    </font>
    <font>
      <sz val="11"/>
      <color rgb="FF424242"/>
      <name val="BodyFontFamily"/>
    </font>
    <font>
      <sz val="12"/>
      <color theme="1"/>
      <name val="Calibri"/>
      <family val="3"/>
      <charset val="134"/>
      <scheme val="minor"/>
    </font>
    <font>
      <sz val="9"/>
      <name val="Calibri"/>
      <family val="3"/>
      <charset val="134"/>
      <scheme val="minor"/>
    </font>
    <font>
      <sz val="12"/>
      <color rgb="FF000000"/>
      <name val="Ariel"/>
      <family val="2"/>
    </font>
  </fonts>
  <fills count="8">
    <fill>
      <patternFill patternType="none"/>
    </fill>
    <fill>
      <patternFill patternType="gray125"/>
    </fill>
    <fill>
      <patternFill patternType="solid">
        <fgColor theme="2"/>
        <bgColor indexed="64"/>
      </patternFill>
    </fill>
    <fill>
      <patternFill patternType="solid">
        <fgColor rgb="FFFAFAFA"/>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00"/>
        <bgColor indexed="64"/>
      </patternFill>
    </fill>
  </fills>
  <borders count="6">
    <border>
      <left/>
      <right/>
      <top/>
      <bottom/>
      <diagonal/>
    </border>
    <border>
      <left style="medium">
        <color rgb="FFDEE0E3"/>
      </left>
      <right style="medium">
        <color rgb="FFDEE0E3"/>
      </right>
      <top style="medium">
        <color rgb="FFDEE0E3"/>
      </top>
      <bottom style="medium">
        <color rgb="FFDEE0E3"/>
      </bottom>
      <diagonal/>
    </border>
    <border>
      <left/>
      <right/>
      <top/>
      <bottom style="medium">
        <color rgb="FFF0F0F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alignment vertical="center"/>
    </xf>
    <xf numFmtId="0" fontId="12" fillId="0" borderId="0">
      <alignment vertical="center"/>
    </xf>
  </cellStyleXfs>
  <cellXfs count="34">
    <xf numFmtId="0" fontId="0" fillId="0" borderId="0" xfId="0">
      <alignment vertical="center"/>
    </xf>
    <xf numFmtId="0" fontId="1" fillId="2" borderId="0" xfId="0" applyFont="1" applyFill="1">
      <alignment vertical="center"/>
    </xf>
    <xf numFmtId="0" fontId="1" fillId="0" borderId="0" xfId="0" applyFont="1">
      <alignment vertical="center"/>
    </xf>
    <xf numFmtId="0" fontId="0" fillId="0" borderId="0" xfId="0" applyProtection="1">
      <alignment vertical="center"/>
      <protection locked="0"/>
    </xf>
    <xf numFmtId="0" fontId="1" fillId="2" borderId="0" xfId="0" applyFont="1" applyFill="1" applyProtection="1">
      <alignment vertical="center"/>
      <protection locked="0"/>
    </xf>
    <xf numFmtId="0" fontId="1" fillId="0" borderId="0" xfId="0" applyFont="1" applyProtection="1">
      <alignment vertical="center"/>
      <protection locked="0"/>
    </xf>
    <xf numFmtId="0" fontId="2" fillId="0" borderId="1" xfId="0" applyFont="1" applyBorder="1">
      <alignment vertical="center"/>
    </xf>
    <xf numFmtId="0" fontId="3" fillId="0" borderId="0" xfId="0" applyFont="1" applyProtection="1">
      <alignment vertical="center"/>
      <protection locked="0"/>
    </xf>
    <xf numFmtId="0" fontId="3" fillId="3" borderId="2" xfId="0" applyFont="1" applyFill="1" applyBorder="1" applyAlignment="1" applyProtection="1">
      <alignment vertical="center" wrapText="1"/>
      <protection locked="0"/>
    </xf>
    <xf numFmtId="0" fontId="4" fillId="0" borderId="0" xfId="0" applyFont="1">
      <alignment vertical="center"/>
    </xf>
    <xf numFmtId="49" fontId="0" fillId="0" borderId="0" xfId="0" applyNumberFormat="1">
      <alignment vertical="center"/>
    </xf>
    <xf numFmtId="0" fontId="6" fillId="5" borderId="3" xfId="0" applyFont="1" applyFill="1" applyBorder="1" applyAlignment="1">
      <alignment vertical="center" wrapText="1"/>
    </xf>
    <xf numFmtId="49" fontId="4" fillId="5" borderId="3" xfId="0" applyNumberFormat="1" applyFont="1" applyFill="1" applyBorder="1" applyAlignment="1">
      <alignment vertical="center" wrapText="1"/>
    </xf>
    <xf numFmtId="0" fontId="4" fillId="5" borderId="3" xfId="0" applyFont="1" applyFill="1" applyBorder="1" applyAlignment="1">
      <alignment vertical="center" wrapText="1"/>
    </xf>
    <xf numFmtId="0" fontId="4" fillId="6" borderId="3" xfId="0" applyFont="1" applyFill="1" applyBorder="1" applyAlignment="1">
      <alignment vertical="center" wrapText="1"/>
    </xf>
    <xf numFmtId="0" fontId="8" fillId="0" borderId="0" xfId="0" applyFont="1">
      <alignment vertical="center"/>
    </xf>
    <xf numFmtId="0" fontId="9" fillId="0" borderId="0" xfId="0" applyFont="1">
      <alignment vertical="center"/>
    </xf>
    <xf numFmtId="0" fontId="11" fillId="0" borderId="0" xfId="0" applyFont="1">
      <alignment vertical="center"/>
    </xf>
    <xf numFmtId="0" fontId="7" fillId="7" borderId="3" xfId="0" applyFont="1" applyFill="1" applyBorder="1" applyAlignment="1">
      <alignment vertical="center" wrapText="1"/>
    </xf>
    <xf numFmtId="0" fontId="4" fillId="7" borderId="3" xfId="0" applyFont="1" applyFill="1" applyBorder="1" applyAlignment="1">
      <alignment vertical="center" wrapText="1"/>
    </xf>
    <xf numFmtId="0" fontId="0" fillId="0" borderId="0" xfId="0" applyAlignment="1"/>
    <xf numFmtId="0" fontId="12" fillId="0" borderId="0" xfId="0" applyFont="1">
      <alignment vertical="center"/>
    </xf>
    <xf numFmtId="0" fontId="12" fillId="0" borderId="0" xfId="0" applyFont="1" applyAlignment="1"/>
    <xf numFmtId="0" fontId="12" fillId="0" borderId="0" xfId="1">
      <alignment vertical="center"/>
    </xf>
    <xf numFmtId="0" fontId="14" fillId="0" borderId="0" xfId="0" applyFont="1" applyAlignment="1">
      <alignment horizontal="center" vertical="center"/>
    </xf>
    <xf numFmtId="0" fontId="10" fillId="7" borderId="0" xfId="0" applyFont="1" applyFill="1">
      <alignment vertical="center"/>
    </xf>
    <xf numFmtId="0" fontId="11" fillId="7" borderId="0" xfId="0" applyFont="1" applyFill="1">
      <alignment vertical="center"/>
    </xf>
    <xf numFmtId="0" fontId="0" fillId="7" borderId="0" xfId="0" applyFill="1">
      <alignment vertical="center"/>
    </xf>
    <xf numFmtId="0" fontId="5" fillId="4" borderId="3" xfId="0" applyFont="1" applyFill="1" applyBorder="1" applyAlignment="1">
      <alignment horizontal="left" vertical="top" wrapText="1"/>
    </xf>
    <xf numFmtId="0" fontId="0" fillId="0" borderId="4" xfId="0" applyBorder="1" applyAlignment="1"/>
    <xf numFmtId="0" fontId="0" fillId="0" borderId="5" xfId="0" applyBorder="1" applyAlignment="1"/>
    <xf numFmtId="0" fontId="4" fillId="6" borderId="3" xfId="0" applyFont="1" applyFill="1" applyBorder="1" applyAlignment="1">
      <alignment horizontal="center" vertical="center"/>
    </xf>
    <xf numFmtId="0" fontId="4" fillId="5" borderId="3" xfId="0" applyFont="1" applyFill="1" applyBorder="1" applyAlignment="1">
      <alignment horizontal="center" vertical="center"/>
    </xf>
    <xf numFmtId="49" fontId="4" fillId="5" borderId="3" xfId="0" applyNumberFormat="1" applyFont="1" applyFill="1" applyBorder="1" applyAlignment="1">
      <alignment horizontal="center" vertical="center"/>
    </xf>
  </cellXfs>
  <cellStyles count="2">
    <cellStyle name="Normal" xfId="0" builtinId="0"/>
    <cellStyle name="常规 2" xfId="1" xr:uid="{8D6CEB7B-962D-45CE-A729-88BCB3E482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03"/>
  <sheetViews>
    <sheetView tabSelected="1" topLeftCell="K45" zoomScale="130" zoomScaleNormal="130" workbookViewId="0">
      <selection activeCell="R53" sqref="R53"/>
    </sheetView>
  </sheetViews>
  <sheetFormatPr baseColWidth="10" defaultColWidth="11" defaultRowHeight="16"/>
  <cols>
    <col min="1" max="1" width="16.33203125" style="20" customWidth="1"/>
    <col min="2" max="2" width="53.33203125" style="20" customWidth="1"/>
    <col min="3" max="3" width="45.33203125" style="20" customWidth="1"/>
    <col min="4" max="4" width="24.33203125" style="20" customWidth="1"/>
    <col min="5" max="5" width="12.83203125" style="10" customWidth="1"/>
    <col min="6" max="6" width="8.1640625" style="20" customWidth="1"/>
    <col min="7" max="7" width="15.1640625" style="20" customWidth="1"/>
    <col min="8" max="8" width="17.33203125" style="20" customWidth="1"/>
    <col min="9" max="9" width="15.6640625" style="20" customWidth="1"/>
    <col min="10" max="10" width="12.5" style="20" customWidth="1"/>
    <col min="11" max="11" width="8" style="20" customWidth="1"/>
    <col min="12" max="12" width="76.83203125" style="20" bestFit="1" customWidth="1"/>
    <col min="13" max="13" width="16" style="20" customWidth="1"/>
    <col min="14" max="14" width="21.83203125" style="20" customWidth="1"/>
    <col min="15" max="15" width="13.33203125" style="20" customWidth="1"/>
    <col min="16" max="16" width="18.83203125" style="20" bestFit="1" customWidth="1"/>
    <col min="17" max="17" width="13.83203125" style="20" customWidth="1"/>
    <col min="18" max="18" width="10.5" style="20" customWidth="1"/>
    <col min="19" max="19" width="15.1640625" style="20" customWidth="1"/>
    <col min="20" max="20" width="10.5" style="20" customWidth="1"/>
    <col min="21" max="21" width="15.1640625" style="20" customWidth="1"/>
    <col min="22" max="22" width="10.5" style="20" customWidth="1"/>
    <col min="23" max="23" width="15.1640625" style="20" customWidth="1"/>
    <col min="24" max="24" width="10.5" style="20" customWidth="1"/>
    <col min="25" max="25" width="15.1640625" style="20" customWidth="1"/>
    <col min="26" max="26" width="21.5" style="20" customWidth="1"/>
    <col min="27" max="27" width="10.5" style="20" customWidth="1"/>
    <col min="28" max="28" width="15.1640625" style="20" customWidth="1"/>
    <col min="29" max="29" width="21.1640625" style="20" customWidth="1"/>
    <col min="30" max="30" width="10.5" style="20" customWidth="1"/>
    <col min="31" max="31" width="15.1640625" style="20" customWidth="1"/>
    <col min="32" max="32" width="10.5" style="20" customWidth="1"/>
    <col min="33" max="33" width="15.1640625" style="20" customWidth="1"/>
    <col min="34" max="34" width="10.5" style="20" customWidth="1"/>
    <col min="35" max="35" width="15.1640625" style="20" customWidth="1"/>
  </cols>
  <sheetData>
    <row r="1" spans="1:36" s="9" customFormat="1" ht="75" customHeight="1">
      <c r="A1" s="28" t="s">
        <v>0</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30"/>
    </row>
    <row r="2" spans="1:36" s="9" customFormat="1" ht="12" customHeight="1">
      <c r="A2" s="32" t="s">
        <v>1</v>
      </c>
      <c r="B2" s="29"/>
      <c r="C2" s="29"/>
      <c r="D2" s="30"/>
      <c r="E2" s="33" t="s">
        <v>2</v>
      </c>
      <c r="F2" s="29"/>
      <c r="G2" s="29"/>
      <c r="H2" s="29"/>
      <c r="I2" s="29"/>
      <c r="J2" s="30"/>
      <c r="K2" s="31" t="s">
        <v>3</v>
      </c>
      <c r="L2" s="29"/>
      <c r="M2" s="29"/>
      <c r="N2" s="29"/>
      <c r="O2" s="29"/>
      <c r="P2" s="29"/>
      <c r="Q2" s="30"/>
      <c r="R2" s="31" t="s">
        <v>4</v>
      </c>
      <c r="S2" s="30"/>
      <c r="T2" s="31" t="s">
        <v>5</v>
      </c>
      <c r="U2" s="30"/>
      <c r="V2" s="31" t="s">
        <v>6</v>
      </c>
      <c r="W2" s="30"/>
      <c r="X2" s="31" t="s">
        <v>7</v>
      </c>
      <c r="Y2" s="30"/>
      <c r="Z2" s="31" t="s">
        <v>8</v>
      </c>
      <c r="AA2" s="29"/>
      <c r="AB2" s="30"/>
      <c r="AC2" s="31" t="s">
        <v>9</v>
      </c>
      <c r="AD2" s="29"/>
      <c r="AE2" s="30"/>
      <c r="AF2" s="31" t="s">
        <v>10</v>
      </c>
      <c r="AG2" s="30"/>
      <c r="AH2" s="31" t="s">
        <v>11</v>
      </c>
      <c r="AI2" s="30"/>
    </row>
    <row r="3" spans="1:36" s="9" customFormat="1" ht="44.5" customHeight="1">
      <c r="A3" s="11" t="s">
        <v>12</v>
      </c>
      <c r="B3" s="18" t="s">
        <v>13</v>
      </c>
      <c r="C3" s="18" t="s">
        <v>14</v>
      </c>
      <c r="D3" s="18" t="s">
        <v>15</v>
      </c>
      <c r="E3" s="12" t="s">
        <v>16</v>
      </c>
      <c r="F3" s="18" t="s">
        <v>17</v>
      </c>
      <c r="G3" s="18" t="s">
        <v>18</v>
      </c>
      <c r="H3" s="19" t="s">
        <v>19</v>
      </c>
      <c r="I3" s="13" t="s">
        <v>20</v>
      </c>
      <c r="J3" s="13" t="s">
        <v>21</v>
      </c>
      <c r="K3" s="19" t="s">
        <v>22</v>
      </c>
      <c r="L3" s="19" t="s">
        <v>23</v>
      </c>
      <c r="M3" s="19" t="s">
        <v>24</v>
      </c>
      <c r="N3" s="19" t="s">
        <v>25</v>
      </c>
      <c r="O3" s="19" t="s">
        <v>26</v>
      </c>
      <c r="P3" s="19" t="s">
        <v>27</v>
      </c>
      <c r="Q3" s="14" t="s">
        <v>28</v>
      </c>
      <c r="R3" s="19" t="s">
        <v>29</v>
      </c>
      <c r="S3" s="14" t="s">
        <v>30</v>
      </c>
      <c r="T3" s="14" t="s">
        <v>29</v>
      </c>
      <c r="U3" s="14" t="s">
        <v>30</v>
      </c>
      <c r="V3" s="14" t="s">
        <v>29</v>
      </c>
      <c r="W3" s="14" t="s">
        <v>30</v>
      </c>
      <c r="X3" s="14" t="s">
        <v>29</v>
      </c>
      <c r="Y3" s="14" t="s">
        <v>30</v>
      </c>
      <c r="Z3" s="14" t="s">
        <v>31</v>
      </c>
      <c r="AA3" s="14" t="s">
        <v>29</v>
      </c>
      <c r="AB3" s="14" t="s">
        <v>30</v>
      </c>
      <c r="AC3" s="14" t="s">
        <v>32</v>
      </c>
      <c r="AD3" s="14" t="s">
        <v>29</v>
      </c>
      <c r="AE3" s="14" t="s">
        <v>30</v>
      </c>
      <c r="AF3" s="14" t="s">
        <v>29</v>
      </c>
      <c r="AG3" s="14" t="s">
        <v>30</v>
      </c>
      <c r="AH3" s="14" t="s">
        <v>29</v>
      </c>
      <c r="AI3" s="14" t="s">
        <v>30</v>
      </c>
    </row>
    <row r="4" spans="1:36">
      <c r="A4"/>
      <c r="B4" s="15" t="s">
        <v>33</v>
      </c>
      <c r="C4" s="15" t="s">
        <v>34</v>
      </c>
      <c r="D4" s="15" t="s">
        <v>35</v>
      </c>
      <c r="E4" s="15">
        <v>157.5</v>
      </c>
      <c r="F4" s="15" t="s">
        <v>36</v>
      </c>
      <c r="G4" s="15" t="s">
        <v>37</v>
      </c>
      <c r="H4" s="16" t="s">
        <v>38</v>
      </c>
      <c r="I4" s="16" t="s">
        <v>39</v>
      </c>
      <c r="J4" s="16"/>
      <c r="K4" s="16"/>
      <c r="L4" s="25" t="s">
        <v>40</v>
      </c>
      <c r="M4" s="15" t="s">
        <v>41</v>
      </c>
      <c r="N4" s="15">
        <v>1E-3</v>
      </c>
      <c r="O4" s="17" t="s">
        <v>42</v>
      </c>
      <c r="P4" s="16"/>
      <c r="Q4" s="16">
        <v>2025</v>
      </c>
      <c r="R4" s="25">
        <v>77</v>
      </c>
      <c r="S4" s="15" t="s">
        <v>43</v>
      </c>
      <c r="T4" s="16"/>
      <c r="U4" s="16"/>
      <c r="V4" s="16"/>
      <c r="W4" s="16"/>
      <c r="X4" s="16"/>
      <c r="Y4" s="16"/>
      <c r="Z4" s="16"/>
      <c r="AA4" s="16"/>
      <c r="AB4" s="16"/>
      <c r="AC4" s="16"/>
      <c r="AD4" s="16"/>
      <c r="AE4" s="16"/>
      <c r="AF4" s="16"/>
      <c r="AG4" s="16"/>
      <c r="AH4" s="16"/>
      <c r="AI4" s="16"/>
      <c r="AJ4" s="16"/>
    </row>
    <row r="5" spans="1:36">
      <c r="B5" s="15" t="s">
        <v>44</v>
      </c>
      <c r="C5" s="15" t="s">
        <v>45</v>
      </c>
      <c r="D5" s="15" t="s">
        <v>35</v>
      </c>
      <c r="E5" s="15">
        <v>50.9</v>
      </c>
      <c r="F5" s="15" t="s">
        <v>36</v>
      </c>
      <c r="G5" s="15" t="s">
        <v>37</v>
      </c>
      <c r="H5" s="16" t="s">
        <v>38</v>
      </c>
      <c r="I5" s="16" t="s">
        <v>39</v>
      </c>
      <c r="J5" s="16"/>
      <c r="K5" s="16"/>
      <c r="L5" s="17" t="s">
        <v>1744</v>
      </c>
      <c r="M5" s="15" t="s">
        <v>1743</v>
      </c>
      <c r="N5" s="15">
        <v>1</v>
      </c>
      <c r="O5" s="17" t="s">
        <v>42</v>
      </c>
      <c r="P5" s="16"/>
      <c r="Q5" s="16">
        <v>2026</v>
      </c>
      <c r="R5" s="25">
        <v>101</v>
      </c>
      <c r="S5" s="15" t="s">
        <v>43</v>
      </c>
      <c r="T5" s="16"/>
      <c r="U5" s="16"/>
      <c r="V5" s="16"/>
      <c r="W5" s="16"/>
      <c r="X5" s="16"/>
      <c r="Y5" s="16"/>
      <c r="Z5" s="16"/>
      <c r="AA5" s="16"/>
      <c r="AB5" s="16"/>
      <c r="AC5" s="16"/>
      <c r="AD5" s="16"/>
      <c r="AE5" s="16"/>
      <c r="AF5" s="16"/>
      <c r="AG5" s="16"/>
      <c r="AH5" s="16"/>
      <c r="AI5" s="16"/>
      <c r="AJ5" s="16"/>
    </row>
    <row r="6" spans="1:36">
      <c r="B6" s="15" t="s">
        <v>48</v>
      </c>
      <c r="C6" s="15" t="s">
        <v>49</v>
      </c>
      <c r="D6" s="15" t="s">
        <v>35</v>
      </c>
      <c r="E6" s="15">
        <v>1389.96</v>
      </c>
      <c r="F6" s="15" t="s">
        <v>36</v>
      </c>
      <c r="G6" s="15" t="s">
        <v>37</v>
      </c>
      <c r="H6" s="16" t="s">
        <v>38</v>
      </c>
      <c r="I6" s="16" t="s">
        <v>39</v>
      </c>
      <c r="J6" s="16"/>
      <c r="K6" s="16"/>
      <c r="L6" s="17" t="s">
        <v>1701</v>
      </c>
      <c r="M6" s="15" t="s">
        <v>47</v>
      </c>
      <c r="N6" s="15">
        <v>1E-3</v>
      </c>
      <c r="O6" s="17" t="s">
        <v>42</v>
      </c>
      <c r="P6" s="16"/>
      <c r="Q6" s="16">
        <v>2026</v>
      </c>
      <c r="R6" s="26">
        <v>75</v>
      </c>
      <c r="S6" s="15" t="s">
        <v>43</v>
      </c>
      <c r="T6" s="16"/>
      <c r="U6" s="16"/>
      <c r="V6" s="16"/>
      <c r="W6" s="16"/>
      <c r="X6" s="16"/>
      <c r="Y6" s="16"/>
      <c r="Z6" s="16"/>
      <c r="AA6" s="16"/>
      <c r="AB6" s="16"/>
      <c r="AC6" s="16"/>
      <c r="AD6" s="16"/>
      <c r="AE6" s="16"/>
      <c r="AF6" s="16"/>
      <c r="AG6" s="16"/>
      <c r="AH6" s="16"/>
      <c r="AI6" s="16"/>
      <c r="AJ6" s="16"/>
    </row>
    <row r="7" spans="1:36">
      <c r="B7" s="15" t="s">
        <v>51</v>
      </c>
      <c r="C7" s="15" t="s">
        <v>52</v>
      </c>
      <c r="D7" s="15" t="s">
        <v>35</v>
      </c>
      <c r="E7" s="15">
        <v>70.489999999999995</v>
      </c>
      <c r="F7" s="15" t="s">
        <v>53</v>
      </c>
      <c r="G7" s="15" t="s">
        <v>37</v>
      </c>
      <c r="H7" s="16" t="s">
        <v>38</v>
      </c>
      <c r="I7" s="16" t="s">
        <v>39</v>
      </c>
      <c r="J7" s="16"/>
      <c r="K7" s="16"/>
      <c r="L7" s="17" t="s">
        <v>54</v>
      </c>
      <c r="M7" s="15" t="s">
        <v>55</v>
      </c>
      <c r="N7" s="15">
        <v>1E-3</v>
      </c>
      <c r="O7" s="17" t="s">
        <v>42</v>
      </c>
      <c r="P7" s="16"/>
      <c r="Q7" s="16">
        <v>2023</v>
      </c>
      <c r="R7" s="26">
        <v>75</v>
      </c>
      <c r="S7" s="15" t="s">
        <v>43</v>
      </c>
      <c r="T7" s="16"/>
      <c r="U7" s="16"/>
      <c r="V7" s="16"/>
      <c r="W7" s="16"/>
      <c r="X7" s="16"/>
      <c r="Y7" s="16"/>
      <c r="Z7" s="16"/>
      <c r="AA7" s="16"/>
      <c r="AB7" s="16"/>
      <c r="AC7" s="16"/>
      <c r="AD7" s="16"/>
      <c r="AE7" s="16"/>
      <c r="AF7" s="16"/>
      <c r="AG7" s="16"/>
      <c r="AH7" s="16"/>
      <c r="AI7" s="16"/>
      <c r="AJ7" s="16"/>
    </row>
    <row r="8" spans="1:36">
      <c r="B8" t="s">
        <v>48</v>
      </c>
      <c r="C8" t="s">
        <v>56</v>
      </c>
      <c r="D8" t="s">
        <v>35</v>
      </c>
      <c r="E8">
        <v>7250</v>
      </c>
      <c r="F8" t="s">
        <v>36</v>
      </c>
      <c r="G8" t="s">
        <v>37</v>
      </c>
      <c r="H8" t="s">
        <v>38</v>
      </c>
      <c r="I8" t="s">
        <v>39</v>
      </c>
      <c r="J8"/>
      <c r="K8"/>
      <c r="L8" t="s">
        <v>50</v>
      </c>
      <c r="M8" t="s">
        <v>47</v>
      </c>
      <c r="N8" s="15">
        <v>1E-3</v>
      </c>
      <c r="O8" t="s">
        <v>42</v>
      </c>
      <c r="Q8">
        <v>2026</v>
      </c>
      <c r="R8" s="27">
        <v>75</v>
      </c>
      <c r="S8" t="s">
        <v>43</v>
      </c>
      <c r="U8"/>
      <c r="W8"/>
      <c r="Y8"/>
      <c r="AA8"/>
      <c r="AB8"/>
      <c r="AD8"/>
      <c r="AF8"/>
      <c r="AH8"/>
    </row>
    <row r="9" spans="1:36">
      <c r="B9" t="s">
        <v>48</v>
      </c>
      <c r="C9" t="s">
        <v>57</v>
      </c>
      <c r="D9" t="s">
        <v>35</v>
      </c>
      <c r="E9">
        <v>16.989999999999998</v>
      </c>
      <c r="F9" t="s">
        <v>53</v>
      </c>
      <c r="G9" t="s">
        <v>37</v>
      </c>
      <c r="H9" t="s">
        <v>38</v>
      </c>
      <c r="I9" t="s">
        <v>39</v>
      </c>
      <c r="J9"/>
      <c r="K9"/>
      <c r="L9" t="s">
        <v>50</v>
      </c>
      <c r="M9" t="s">
        <v>47</v>
      </c>
      <c r="N9" s="15">
        <v>1E-3</v>
      </c>
      <c r="O9" t="s">
        <v>42</v>
      </c>
      <c r="Q9">
        <v>2026</v>
      </c>
      <c r="R9" s="27">
        <v>75</v>
      </c>
      <c r="S9" t="s">
        <v>43</v>
      </c>
      <c r="U9"/>
      <c r="W9"/>
      <c r="Y9"/>
      <c r="AA9"/>
      <c r="AB9"/>
      <c r="AD9"/>
      <c r="AF9"/>
      <c r="AH9"/>
    </row>
    <row r="10" spans="1:36">
      <c r="B10" t="s">
        <v>58</v>
      </c>
      <c r="C10" t="s">
        <v>59</v>
      </c>
      <c r="D10" t="s">
        <v>35</v>
      </c>
      <c r="E10">
        <v>9.06</v>
      </c>
      <c r="F10" t="s">
        <v>53</v>
      </c>
      <c r="G10" t="s">
        <v>37</v>
      </c>
      <c r="H10" t="s">
        <v>38</v>
      </c>
      <c r="I10" t="s">
        <v>39</v>
      </c>
      <c r="J10"/>
      <c r="K10"/>
      <c r="L10" t="s">
        <v>54</v>
      </c>
      <c r="M10" t="s">
        <v>55</v>
      </c>
      <c r="N10" s="15">
        <v>1E-3</v>
      </c>
      <c r="O10" t="s">
        <v>42</v>
      </c>
      <c r="Q10">
        <v>2023</v>
      </c>
      <c r="R10" s="27">
        <v>75</v>
      </c>
      <c r="S10" t="s">
        <v>43</v>
      </c>
      <c r="U10"/>
      <c r="W10"/>
      <c r="Y10"/>
      <c r="AA10"/>
      <c r="AB10"/>
      <c r="AD10"/>
      <c r="AF10"/>
      <c r="AH10"/>
    </row>
    <row r="11" spans="1:36">
      <c r="B11" t="s">
        <v>60</v>
      </c>
      <c r="C11" t="s">
        <v>61</v>
      </c>
      <c r="D11" t="s">
        <v>35</v>
      </c>
      <c r="E11">
        <v>5.66</v>
      </c>
      <c r="F11" t="s">
        <v>53</v>
      </c>
      <c r="G11" t="s">
        <v>37</v>
      </c>
      <c r="H11" t="s">
        <v>38</v>
      </c>
      <c r="I11" t="s">
        <v>39</v>
      </c>
      <c r="J11"/>
      <c r="K11"/>
      <c r="L11" t="s">
        <v>54</v>
      </c>
      <c r="M11" t="s">
        <v>55</v>
      </c>
      <c r="N11">
        <v>1E-3</v>
      </c>
      <c r="O11" t="s">
        <v>42</v>
      </c>
      <c r="Q11">
        <v>2026</v>
      </c>
      <c r="R11" s="27">
        <v>75</v>
      </c>
      <c r="S11" t="s">
        <v>43</v>
      </c>
      <c r="U11"/>
      <c r="W11"/>
      <c r="Y11"/>
      <c r="AA11"/>
      <c r="AB11"/>
      <c r="AD11"/>
      <c r="AF11"/>
      <c r="AH11"/>
    </row>
    <row r="12" spans="1:36">
      <c r="B12" t="s">
        <v>63</v>
      </c>
      <c r="C12" t="s">
        <v>64</v>
      </c>
      <c r="D12" t="s">
        <v>35</v>
      </c>
      <c r="E12">
        <v>50.97</v>
      </c>
      <c r="F12" t="s">
        <v>53</v>
      </c>
      <c r="G12" t="s">
        <v>37</v>
      </c>
      <c r="H12" t="s">
        <v>38</v>
      </c>
      <c r="I12" t="s">
        <v>39</v>
      </c>
      <c r="J12"/>
      <c r="K12"/>
      <c r="L12" t="s">
        <v>50</v>
      </c>
      <c r="M12" t="s">
        <v>47</v>
      </c>
      <c r="N12">
        <v>1E-3</v>
      </c>
      <c r="O12" t="s">
        <v>42</v>
      </c>
      <c r="Q12">
        <v>2026</v>
      </c>
      <c r="R12" s="27">
        <v>75</v>
      </c>
      <c r="S12" t="s">
        <v>43</v>
      </c>
      <c r="U12"/>
      <c r="W12"/>
      <c r="Y12"/>
      <c r="AA12"/>
      <c r="AB12"/>
      <c r="AD12"/>
      <c r="AF12"/>
      <c r="AH12"/>
    </row>
    <row r="13" spans="1:36">
      <c r="B13" t="s">
        <v>65</v>
      </c>
      <c r="C13" t="s">
        <v>66</v>
      </c>
      <c r="D13" t="s">
        <v>35</v>
      </c>
      <c r="E13">
        <v>21.92</v>
      </c>
      <c r="F13" t="s">
        <v>53</v>
      </c>
      <c r="G13" t="s">
        <v>37</v>
      </c>
      <c r="H13" t="s">
        <v>38</v>
      </c>
      <c r="I13" t="s">
        <v>39</v>
      </c>
      <c r="J13"/>
      <c r="K13"/>
      <c r="L13" t="s">
        <v>50</v>
      </c>
      <c r="M13" t="s">
        <v>47</v>
      </c>
      <c r="N13">
        <v>1E-3</v>
      </c>
      <c r="O13" t="s">
        <v>42</v>
      </c>
      <c r="Q13">
        <v>2026</v>
      </c>
      <c r="R13" s="27">
        <v>75</v>
      </c>
      <c r="S13" t="s">
        <v>43</v>
      </c>
      <c r="U13"/>
      <c r="W13"/>
      <c r="Y13"/>
      <c r="AA13"/>
      <c r="AB13"/>
      <c r="AD13"/>
      <c r="AF13"/>
      <c r="AH13"/>
    </row>
    <row r="14" spans="1:36">
      <c r="B14" t="s">
        <v>63</v>
      </c>
      <c r="C14" t="s">
        <v>64</v>
      </c>
      <c r="D14" t="s">
        <v>35</v>
      </c>
      <c r="E14">
        <v>118.93</v>
      </c>
      <c r="F14" t="s">
        <v>53</v>
      </c>
      <c r="G14" t="s">
        <v>37</v>
      </c>
      <c r="H14" t="s">
        <v>38</v>
      </c>
      <c r="I14" t="s">
        <v>39</v>
      </c>
      <c r="J14"/>
      <c r="K14"/>
      <c r="L14" t="s">
        <v>50</v>
      </c>
      <c r="M14" t="s">
        <v>47</v>
      </c>
      <c r="N14">
        <v>1E-3</v>
      </c>
      <c r="O14" t="s">
        <v>42</v>
      </c>
      <c r="Q14">
        <v>2026</v>
      </c>
      <c r="R14" s="27">
        <v>75</v>
      </c>
      <c r="S14" t="s">
        <v>43</v>
      </c>
      <c r="U14"/>
      <c r="W14"/>
      <c r="Y14"/>
      <c r="AA14"/>
      <c r="AB14"/>
      <c r="AD14"/>
      <c r="AF14"/>
      <c r="AH14"/>
    </row>
    <row r="15" spans="1:36">
      <c r="B15" s="21" t="s">
        <v>1666</v>
      </c>
      <c r="C15" t="s">
        <v>68</v>
      </c>
      <c r="D15" t="s">
        <v>35</v>
      </c>
      <c r="E15">
        <v>12750</v>
      </c>
      <c r="F15" t="s">
        <v>36</v>
      </c>
      <c r="G15" t="s">
        <v>37</v>
      </c>
      <c r="H15" t="s">
        <v>38</v>
      </c>
      <c r="I15" t="s">
        <v>39</v>
      </c>
      <c r="J15"/>
      <c r="K15"/>
      <c r="L15" t="s">
        <v>69</v>
      </c>
      <c r="M15" t="s">
        <v>47</v>
      </c>
      <c r="N15">
        <v>1E-3</v>
      </c>
      <c r="O15" t="s">
        <v>42</v>
      </c>
      <c r="Q15">
        <v>2026</v>
      </c>
      <c r="R15" s="27">
        <v>102</v>
      </c>
      <c r="S15" t="s">
        <v>43</v>
      </c>
      <c r="U15"/>
      <c r="W15"/>
      <c r="Y15"/>
      <c r="AA15"/>
      <c r="AB15"/>
      <c r="AD15"/>
      <c r="AF15"/>
      <c r="AH15"/>
    </row>
    <row r="16" spans="1:36">
      <c r="B16" t="s">
        <v>70</v>
      </c>
      <c r="C16" t="s">
        <v>71</v>
      </c>
      <c r="D16" t="s">
        <v>35</v>
      </c>
      <c r="E16">
        <v>119</v>
      </c>
      <c r="F16" t="s">
        <v>36</v>
      </c>
      <c r="G16" t="s">
        <v>37</v>
      </c>
      <c r="H16" t="s">
        <v>38</v>
      </c>
      <c r="I16" t="s">
        <v>39</v>
      </c>
      <c r="J16"/>
      <c r="K16"/>
      <c r="L16" t="s">
        <v>72</v>
      </c>
      <c r="M16" t="s">
        <v>47</v>
      </c>
      <c r="N16">
        <v>1E-3</v>
      </c>
      <c r="O16" t="s">
        <v>42</v>
      </c>
      <c r="Q16">
        <v>2026</v>
      </c>
      <c r="R16" s="27">
        <v>67</v>
      </c>
      <c r="S16" t="s">
        <v>43</v>
      </c>
      <c r="U16"/>
      <c r="W16"/>
      <c r="Y16"/>
      <c r="AA16"/>
      <c r="AB16"/>
      <c r="AD16"/>
      <c r="AF16"/>
      <c r="AH16"/>
    </row>
    <row r="17" spans="1:35">
      <c r="B17" t="s">
        <v>70</v>
      </c>
      <c r="C17" t="s">
        <v>71</v>
      </c>
      <c r="D17" t="s">
        <v>35</v>
      </c>
      <c r="E17">
        <v>119</v>
      </c>
      <c r="F17" t="s">
        <v>36</v>
      </c>
      <c r="G17" t="s">
        <v>37</v>
      </c>
      <c r="H17" t="s">
        <v>38</v>
      </c>
      <c r="I17" t="s">
        <v>39</v>
      </c>
      <c r="J17"/>
      <c r="K17"/>
      <c r="L17" t="s">
        <v>72</v>
      </c>
      <c r="M17" t="s">
        <v>47</v>
      </c>
      <c r="N17">
        <v>1E-3</v>
      </c>
      <c r="O17" t="s">
        <v>42</v>
      </c>
      <c r="Q17">
        <v>2026</v>
      </c>
      <c r="R17" s="27">
        <v>67</v>
      </c>
      <c r="S17" t="s">
        <v>43</v>
      </c>
      <c r="U17"/>
      <c r="W17"/>
      <c r="Y17"/>
      <c r="AA17"/>
      <c r="AB17"/>
      <c r="AD17"/>
      <c r="AF17"/>
      <c r="AH17"/>
    </row>
    <row r="18" spans="1:35">
      <c r="B18" t="s">
        <v>73</v>
      </c>
      <c r="C18" t="s">
        <v>74</v>
      </c>
      <c r="D18" t="s">
        <v>35</v>
      </c>
      <c r="E18">
        <v>119</v>
      </c>
      <c r="F18" t="s">
        <v>36</v>
      </c>
      <c r="G18" t="s">
        <v>37</v>
      </c>
      <c r="H18" t="s">
        <v>38</v>
      </c>
      <c r="I18" t="s">
        <v>39</v>
      </c>
      <c r="J18"/>
      <c r="K18"/>
      <c r="L18" t="s">
        <v>75</v>
      </c>
      <c r="M18" t="s">
        <v>76</v>
      </c>
      <c r="N18">
        <v>1E-3</v>
      </c>
      <c r="O18" t="s">
        <v>42</v>
      </c>
      <c r="Q18">
        <v>2026</v>
      </c>
      <c r="R18" s="27">
        <v>67</v>
      </c>
      <c r="S18" t="s">
        <v>43</v>
      </c>
      <c r="U18"/>
      <c r="W18"/>
      <c r="Y18"/>
      <c r="AA18"/>
      <c r="AB18"/>
      <c r="AD18"/>
      <c r="AF18"/>
      <c r="AH18"/>
    </row>
    <row r="19" spans="1:35">
      <c r="B19" t="s">
        <v>77</v>
      </c>
      <c r="C19" t="s">
        <v>77</v>
      </c>
      <c r="D19" t="s">
        <v>35</v>
      </c>
      <c r="E19">
        <v>119</v>
      </c>
      <c r="F19" t="s">
        <v>36</v>
      </c>
      <c r="G19" t="s">
        <v>37</v>
      </c>
      <c r="H19" t="s">
        <v>38</v>
      </c>
      <c r="I19" t="s">
        <v>39</v>
      </c>
      <c r="J19"/>
      <c r="K19"/>
      <c r="L19" t="s">
        <v>72</v>
      </c>
      <c r="M19" t="s">
        <v>47</v>
      </c>
      <c r="N19">
        <v>1E-3</v>
      </c>
      <c r="O19" t="s">
        <v>42</v>
      </c>
      <c r="Q19">
        <v>2026</v>
      </c>
      <c r="R19" s="27">
        <v>67</v>
      </c>
      <c r="S19" t="s">
        <v>43</v>
      </c>
      <c r="U19"/>
      <c r="W19"/>
      <c r="Y19"/>
      <c r="AA19"/>
      <c r="AB19"/>
      <c r="AD19"/>
      <c r="AF19"/>
      <c r="AH19"/>
    </row>
    <row r="20" spans="1:35">
      <c r="B20" t="s">
        <v>78</v>
      </c>
      <c r="C20" t="s">
        <v>79</v>
      </c>
      <c r="D20" t="s">
        <v>35</v>
      </c>
      <c r="E20">
        <v>119</v>
      </c>
      <c r="F20" t="s">
        <v>36</v>
      </c>
      <c r="G20" t="s">
        <v>37</v>
      </c>
      <c r="H20" t="s">
        <v>38</v>
      </c>
      <c r="I20" t="s">
        <v>39</v>
      </c>
      <c r="J20"/>
      <c r="K20"/>
      <c r="L20" t="s">
        <v>75</v>
      </c>
      <c r="M20" t="s">
        <v>76</v>
      </c>
      <c r="N20">
        <v>1E-3</v>
      </c>
      <c r="O20" t="s">
        <v>42</v>
      </c>
      <c r="Q20">
        <v>2026</v>
      </c>
      <c r="R20" s="27">
        <v>67</v>
      </c>
      <c r="S20" t="s">
        <v>43</v>
      </c>
      <c r="U20"/>
      <c r="W20"/>
      <c r="Y20"/>
      <c r="AA20"/>
      <c r="AB20"/>
      <c r="AD20"/>
      <c r="AF20"/>
      <c r="AH20"/>
    </row>
    <row r="21" spans="1:35">
      <c r="B21" t="s">
        <v>80</v>
      </c>
      <c r="C21" t="s">
        <v>81</v>
      </c>
      <c r="D21" t="s">
        <v>35</v>
      </c>
      <c r="E21">
        <v>2000</v>
      </c>
      <c r="F21" t="s">
        <v>36</v>
      </c>
      <c r="G21" t="s">
        <v>37</v>
      </c>
      <c r="H21" t="s">
        <v>38</v>
      </c>
      <c r="I21" t="s">
        <v>39</v>
      </c>
      <c r="J21"/>
      <c r="K21"/>
      <c r="L21" t="s">
        <v>69</v>
      </c>
      <c r="M21" t="s">
        <v>47</v>
      </c>
      <c r="N21">
        <v>1E-3</v>
      </c>
      <c r="O21" t="s">
        <v>42</v>
      </c>
      <c r="Q21">
        <v>2026</v>
      </c>
      <c r="R21" s="27">
        <v>67</v>
      </c>
      <c r="S21" t="s">
        <v>43</v>
      </c>
      <c r="U21"/>
      <c r="W21"/>
      <c r="Y21"/>
      <c r="AA21"/>
      <c r="AB21"/>
      <c r="AD21"/>
      <c r="AF21"/>
      <c r="AH21"/>
    </row>
    <row r="22" spans="1:35">
      <c r="B22" s="21" t="s">
        <v>1668</v>
      </c>
      <c r="C22" t="s">
        <v>88</v>
      </c>
      <c r="D22" t="s">
        <v>89</v>
      </c>
      <c r="E22">
        <v>155</v>
      </c>
      <c r="F22" s="21" t="s">
        <v>1667</v>
      </c>
      <c r="G22" t="s">
        <v>37</v>
      </c>
      <c r="H22" t="s">
        <v>38</v>
      </c>
      <c r="I22" t="s">
        <v>39</v>
      </c>
      <c r="J22"/>
      <c r="K22"/>
      <c r="L22" t="s">
        <v>90</v>
      </c>
      <c r="M22" t="s">
        <v>91</v>
      </c>
      <c r="N22">
        <v>1</v>
      </c>
      <c r="O22" t="s">
        <v>42</v>
      </c>
      <c r="Q22"/>
      <c r="R22" s="27">
        <v>0.151</v>
      </c>
      <c r="S22" t="s">
        <v>43</v>
      </c>
      <c r="U22"/>
      <c r="W22"/>
      <c r="Y22"/>
      <c r="AA22"/>
      <c r="AB22"/>
      <c r="AD22"/>
      <c r="AF22"/>
      <c r="AH22"/>
    </row>
    <row r="23" spans="1:35">
      <c r="B23" s="21" t="s">
        <v>1669</v>
      </c>
      <c r="C23" t="s">
        <v>92</v>
      </c>
      <c r="D23" t="s">
        <v>89</v>
      </c>
      <c r="E23">
        <v>155</v>
      </c>
      <c r="F23" s="21" t="s">
        <v>1667</v>
      </c>
      <c r="G23" t="s">
        <v>37</v>
      </c>
      <c r="H23" t="s">
        <v>38</v>
      </c>
      <c r="I23" t="s">
        <v>39</v>
      </c>
      <c r="J23"/>
      <c r="K23"/>
      <c r="L23" t="s">
        <v>90</v>
      </c>
      <c r="M23" t="s">
        <v>91</v>
      </c>
      <c r="N23">
        <v>1</v>
      </c>
      <c r="O23" t="s">
        <v>42</v>
      </c>
      <c r="Q23"/>
      <c r="R23" s="27">
        <v>0.151</v>
      </c>
      <c r="S23" t="s">
        <v>43</v>
      </c>
      <c r="U23"/>
      <c r="W23"/>
      <c r="Y23"/>
      <c r="AA23"/>
      <c r="AB23"/>
      <c r="AD23"/>
      <c r="AF23"/>
      <c r="AH23"/>
    </row>
    <row r="24" spans="1:35">
      <c r="B24" t="s">
        <v>95</v>
      </c>
      <c r="C24" t="s">
        <v>96</v>
      </c>
      <c r="D24" t="s">
        <v>89</v>
      </c>
      <c r="E24">
        <v>155</v>
      </c>
      <c r="F24" s="21" t="s">
        <v>1667</v>
      </c>
      <c r="G24" t="s">
        <v>37</v>
      </c>
      <c r="H24" t="s">
        <v>38</v>
      </c>
      <c r="I24" t="s">
        <v>39</v>
      </c>
      <c r="J24"/>
      <c r="K24"/>
      <c r="L24" t="s">
        <v>90</v>
      </c>
      <c r="M24" t="s">
        <v>91</v>
      </c>
      <c r="N24">
        <v>1</v>
      </c>
      <c r="O24" t="s">
        <v>42</v>
      </c>
      <c r="Q24"/>
      <c r="R24" s="27">
        <v>0.151</v>
      </c>
      <c r="S24" t="s">
        <v>43</v>
      </c>
      <c r="U24"/>
      <c r="W24"/>
      <c r="Y24"/>
      <c r="AA24"/>
      <c r="AB24"/>
      <c r="AD24"/>
      <c r="AF24"/>
      <c r="AH24"/>
    </row>
    <row r="25" spans="1:35">
      <c r="B25" t="s">
        <v>97</v>
      </c>
      <c r="C25" t="s">
        <v>98</v>
      </c>
      <c r="D25" t="s">
        <v>89</v>
      </c>
      <c r="E25">
        <v>155</v>
      </c>
      <c r="F25" s="21" t="s">
        <v>1667</v>
      </c>
      <c r="G25" t="s">
        <v>37</v>
      </c>
      <c r="H25" t="s">
        <v>38</v>
      </c>
      <c r="I25" t="s">
        <v>39</v>
      </c>
      <c r="J25"/>
      <c r="K25"/>
      <c r="L25" t="s">
        <v>90</v>
      </c>
      <c r="M25" t="s">
        <v>91</v>
      </c>
      <c r="N25">
        <v>1</v>
      </c>
      <c r="O25" t="s">
        <v>42</v>
      </c>
      <c r="Q25"/>
      <c r="R25" s="27">
        <v>0.151</v>
      </c>
      <c r="S25" t="s">
        <v>43</v>
      </c>
      <c r="U25"/>
      <c r="W25"/>
      <c r="Y25"/>
      <c r="AA25"/>
      <c r="AB25"/>
      <c r="AD25"/>
      <c r="AF25"/>
      <c r="AH25"/>
    </row>
    <row r="26" spans="1:35">
      <c r="A26" s="22"/>
      <c r="B26" s="21" t="s">
        <v>1723</v>
      </c>
      <c r="C26" t="s">
        <v>102</v>
      </c>
      <c r="D26" t="s">
        <v>35</v>
      </c>
      <c r="E26">
        <v>7260</v>
      </c>
      <c r="F26" s="21" t="s">
        <v>1667</v>
      </c>
      <c r="G26" t="s">
        <v>37</v>
      </c>
      <c r="H26" t="s">
        <v>38</v>
      </c>
      <c r="I26" t="s">
        <v>39</v>
      </c>
      <c r="J26"/>
      <c r="K26"/>
      <c r="L26" t="s">
        <v>103</v>
      </c>
      <c r="M26" t="s">
        <v>91</v>
      </c>
      <c r="N26">
        <v>1</v>
      </c>
      <c r="O26" t="s">
        <v>42</v>
      </c>
      <c r="Q26"/>
      <c r="R26" s="27">
        <v>0.01</v>
      </c>
      <c r="S26" t="s">
        <v>43</v>
      </c>
      <c r="T26" s="21"/>
      <c r="U26"/>
      <c r="V26"/>
      <c r="W26"/>
      <c r="X26"/>
      <c r="Y26"/>
      <c r="Z26"/>
      <c r="AA26"/>
      <c r="AB26"/>
      <c r="AC26"/>
      <c r="AD26"/>
      <c r="AE26"/>
      <c r="AF26"/>
      <c r="AG26"/>
      <c r="AH26"/>
      <c r="AI26">
        <v>0</v>
      </c>
    </row>
    <row r="27" spans="1:35">
      <c r="A27" s="22"/>
      <c r="B27" s="21" t="s">
        <v>1724</v>
      </c>
      <c r="C27" t="s">
        <v>102</v>
      </c>
      <c r="D27" t="s">
        <v>35</v>
      </c>
      <c r="E27">
        <v>660</v>
      </c>
      <c r="F27" s="21" t="s">
        <v>1667</v>
      </c>
      <c r="G27" t="s">
        <v>37</v>
      </c>
      <c r="H27" t="s">
        <v>38</v>
      </c>
      <c r="I27" t="s">
        <v>39</v>
      </c>
      <c r="J27"/>
      <c r="K27"/>
      <c r="L27" t="s">
        <v>103</v>
      </c>
      <c r="M27" t="s">
        <v>91</v>
      </c>
      <c r="N27">
        <v>1</v>
      </c>
      <c r="O27" t="s">
        <v>42</v>
      </c>
      <c r="Q27"/>
      <c r="R27" s="27">
        <v>0.01</v>
      </c>
      <c r="S27" t="s">
        <v>43</v>
      </c>
      <c r="T27"/>
      <c r="U27"/>
      <c r="V27"/>
      <c r="W27"/>
      <c r="X27"/>
      <c r="Y27"/>
      <c r="Z27"/>
      <c r="AA27"/>
      <c r="AB27"/>
      <c r="AC27"/>
      <c r="AD27"/>
      <c r="AE27"/>
      <c r="AF27"/>
      <c r="AG27"/>
      <c r="AH27"/>
      <c r="AI27">
        <v>0</v>
      </c>
    </row>
    <row r="28" spans="1:35">
      <c r="B28" s="21" t="s">
        <v>1724</v>
      </c>
      <c r="C28" t="s">
        <v>102</v>
      </c>
      <c r="D28" t="s">
        <v>35</v>
      </c>
      <c r="E28">
        <v>660</v>
      </c>
      <c r="F28" s="21" t="s">
        <v>1667</v>
      </c>
      <c r="G28" t="s">
        <v>37</v>
      </c>
      <c r="H28" t="s">
        <v>38</v>
      </c>
      <c r="I28" t="s">
        <v>39</v>
      </c>
      <c r="J28"/>
      <c r="K28"/>
      <c r="L28" t="s">
        <v>103</v>
      </c>
      <c r="M28" t="s">
        <v>91</v>
      </c>
      <c r="N28">
        <v>1</v>
      </c>
      <c r="O28" t="s">
        <v>42</v>
      </c>
      <c r="Q28"/>
      <c r="R28" s="27">
        <v>0.01</v>
      </c>
      <c r="S28" t="s">
        <v>43</v>
      </c>
      <c r="T28"/>
      <c r="U28"/>
      <c r="V28"/>
      <c r="W28"/>
      <c r="X28"/>
      <c r="Y28"/>
      <c r="Z28"/>
      <c r="AA28"/>
      <c r="AB28"/>
      <c r="AC28"/>
      <c r="AD28"/>
      <c r="AE28"/>
      <c r="AF28"/>
      <c r="AG28"/>
      <c r="AH28"/>
      <c r="AI28">
        <v>0</v>
      </c>
    </row>
    <row r="29" spans="1:35">
      <c r="B29" s="21" t="s">
        <v>1724</v>
      </c>
      <c r="C29" t="s">
        <v>102</v>
      </c>
      <c r="D29" t="s">
        <v>35</v>
      </c>
      <c r="E29">
        <v>660</v>
      </c>
      <c r="F29" s="21" t="s">
        <v>1667</v>
      </c>
      <c r="G29" t="s">
        <v>37</v>
      </c>
      <c r="H29" t="s">
        <v>38</v>
      </c>
      <c r="I29" t="s">
        <v>39</v>
      </c>
      <c r="J29"/>
      <c r="K29"/>
      <c r="L29" t="s">
        <v>103</v>
      </c>
      <c r="M29" t="s">
        <v>91</v>
      </c>
      <c r="N29">
        <v>1</v>
      </c>
      <c r="O29" t="s">
        <v>42</v>
      </c>
      <c r="Q29"/>
      <c r="R29" s="27">
        <v>0.01</v>
      </c>
      <c r="S29" t="s">
        <v>43</v>
      </c>
      <c r="T29"/>
      <c r="U29"/>
      <c r="V29"/>
      <c r="W29"/>
      <c r="X29"/>
      <c r="Y29"/>
      <c r="Z29"/>
      <c r="AA29"/>
      <c r="AB29"/>
      <c r="AC29"/>
      <c r="AD29"/>
      <c r="AE29"/>
      <c r="AF29"/>
      <c r="AG29"/>
      <c r="AH29"/>
      <c r="AI29">
        <v>0</v>
      </c>
    </row>
    <row r="30" spans="1:35">
      <c r="B30" s="21" t="s">
        <v>1724</v>
      </c>
      <c r="C30" t="s">
        <v>102</v>
      </c>
      <c r="D30" t="s">
        <v>35</v>
      </c>
      <c r="E30">
        <v>660</v>
      </c>
      <c r="F30" s="21" t="s">
        <v>1667</v>
      </c>
      <c r="G30" t="s">
        <v>37</v>
      </c>
      <c r="H30" t="s">
        <v>38</v>
      </c>
      <c r="I30" t="s">
        <v>39</v>
      </c>
      <c r="J30"/>
      <c r="K30"/>
      <c r="L30" t="s">
        <v>103</v>
      </c>
      <c r="M30" t="s">
        <v>91</v>
      </c>
      <c r="N30">
        <v>1</v>
      </c>
      <c r="O30" t="s">
        <v>42</v>
      </c>
      <c r="Q30"/>
      <c r="R30" s="27">
        <v>0.01</v>
      </c>
      <c r="S30" t="s">
        <v>43</v>
      </c>
      <c r="T30"/>
      <c r="U30"/>
      <c r="V30"/>
      <c r="W30"/>
      <c r="X30"/>
      <c r="Y30"/>
      <c r="Z30"/>
      <c r="AA30"/>
      <c r="AB30"/>
      <c r="AC30"/>
      <c r="AD30"/>
      <c r="AE30"/>
      <c r="AF30"/>
      <c r="AG30"/>
      <c r="AH30"/>
      <c r="AI30">
        <v>0</v>
      </c>
    </row>
    <row r="31" spans="1:35">
      <c r="B31" s="21" t="s">
        <v>1724</v>
      </c>
      <c r="C31" t="s">
        <v>102</v>
      </c>
      <c r="D31" t="s">
        <v>35</v>
      </c>
      <c r="E31">
        <v>660</v>
      </c>
      <c r="F31" s="21" t="s">
        <v>1667</v>
      </c>
      <c r="G31" t="s">
        <v>37</v>
      </c>
      <c r="H31" t="s">
        <v>38</v>
      </c>
      <c r="I31" t="s">
        <v>39</v>
      </c>
      <c r="J31"/>
      <c r="K31"/>
      <c r="L31" t="s">
        <v>103</v>
      </c>
      <c r="M31" t="s">
        <v>91</v>
      </c>
      <c r="N31">
        <v>1</v>
      </c>
      <c r="O31" t="s">
        <v>42</v>
      </c>
      <c r="Q31"/>
      <c r="R31" s="27">
        <v>0.01</v>
      </c>
      <c r="S31" t="s">
        <v>43</v>
      </c>
      <c r="T31"/>
      <c r="U31"/>
      <c r="V31"/>
      <c r="W31"/>
      <c r="X31"/>
      <c r="Y31"/>
      <c r="Z31"/>
      <c r="AA31"/>
      <c r="AB31"/>
      <c r="AC31"/>
      <c r="AD31"/>
      <c r="AE31"/>
      <c r="AF31"/>
      <c r="AG31"/>
      <c r="AH31"/>
      <c r="AI31">
        <v>0</v>
      </c>
    </row>
    <row r="32" spans="1:35">
      <c r="B32" s="21" t="s">
        <v>1724</v>
      </c>
      <c r="C32" t="s">
        <v>102</v>
      </c>
      <c r="D32" t="s">
        <v>35</v>
      </c>
      <c r="E32">
        <v>660</v>
      </c>
      <c r="F32" s="21" t="s">
        <v>1667</v>
      </c>
      <c r="G32" t="s">
        <v>37</v>
      </c>
      <c r="H32" t="s">
        <v>38</v>
      </c>
      <c r="I32" t="s">
        <v>39</v>
      </c>
      <c r="J32"/>
      <c r="K32"/>
      <c r="L32" t="s">
        <v>103</v>
      </c>
      <c r="M32" t="s">
        <v>91</v>
      </c>
      <c r="N32">
        <v>1</v>
      </c>
      <c r="O32" t="s">
        <v>42</v>
      </c>
      <c r="Q32"/>
      <c r="R32" s="27">
        <v>0.01</v>
      </c>
      <c r="S32" t="s">
        <v>43</v>
      </c>
      <c r="T32"/>
      <c r="U32"/>
      <c r="V32"/>
      <c r="W32"/>
      <c r="X32"/>
      <c r="Y32"/>
      <c r="Z32"/>
      <c r="AA32"/>
      <c r="AB32"/>
      <c r="AC32"/>
      <c r="AD32"/>
      <c r="AE32"/>
      <c r="AF32"/>
      <c r="AG32"/>
      <c r="AH32"/>
      <c r="AI32">
        <v>0</v>
      </c>
    </row>
    <row r="33" spans="2:35">
      <c r="B33" s="21" t="s">
        <v>1724</v>
      </c>
      <c r="C33" t="s">
        <v>102</v>
      </c>
      <c r="D33" t="s">
        <v>35</v>
      </c>
      <c r="E33">
        <v>660</v>
      </c>
      <c r="F33" s="21" t="s">
        <v>1667</v>
      </c>
      <c r="G33" t="s">
        <v>37</v>
      </c>
      <c r="H33" t="s">
        <v>38</v>
      </c>
      <c r="I33" t="s">
        <v>39</v>
      </c>
      <c r="J33"/>
      <c r="K33"/>
      <c r="L33" t="s">
        <v>103</v>
      </c>
      <c r="M33" t="s">
        <v>91</v>
      </c>
      <c r="N33">
        <v>1</v>
      </c>
      <c r="O33" t="s">
        <v>42</v>
      </c>
      <c r="Q33"/>
      <c r="R33" s="27">
        <v>0.01</v>
      </c>
      <c r="S33" t="s">
        <v>43</v>
      </c>
      <c r="T33"/>
      <c r="U33"/>
      <c r="V33"/>
      <c r="W33"/>
      <c r="X33"/>
      <c r="Y33"/>
      <c r="Z33"/>
      <c r="AA33"/>
      <c r="AB33"/>
      <c r="AC33"/>
      <c r="AD33"/>
      <c r="AE33"/>
      <c r="AF33"/>
      <c r="AG33"/>
      <c r="AH33"/>
      <c r="AI33">
        <v>0</v>
      </c>
    </row>
    <row r="34" spans="2:35">
      <c r="B34" s="21" t="s">
        <v>1724</v>
      </c>
      <c r="C34" t="s">
        <v>102</v>
      </c>
      <c r="D34" t="s">
        <v>35</v>
      </c>
      <c r="E34">
        <v>660</v>
      </c>
      <c r="F34" s="21" t="s">
        <v>1667</v>
      </c>
      <c r="G34" t="s">
        <v>37</v>
      </c>
      <c r="H34" t="s">
        <v>38</v>
      </c>
      <c r="I34" t="s">
        <v>39</v>
      </c>
      <c r="J34"/>
      <c r="K34"/>
      <c r="L34" t="s">
        <v>103</v>
      </c>
      <c r="M34" t="s">
        <v>91</v>
      </c>
      <c r="N34">
        <v>1</v>
      </c>
      <c r="O34" t="s">
        <v>42</v>
      </c>
      <c r="Q34"/>
      <c r="R34" s="27">
        <v>0.01</v>
      </c>
      <c r="S34" t="s">
        <v>43</v>
      </c>
      <c r="T34"/>
      <c r="U34"/>
      <c r="V34"/>
      <c r="W34"/>
      <c r="X34"/>
      <c r="Y34"/>
      <c r="Z34"/>
      <c r="AA34"/>
      <c r="AB34"/>
      <c r="AC34"/>
      <c r="AD34"/>
      <c r="AE34"/>
      <c r="AF34"/>
      <c r="AG34"/>
      <c r="AH34"/>
      <c r="AI34">
        <v>0</v>
      </c>
    </row>
    <row r="35" spans="2:35">
      <c r="B35" s="21" t="s">
        <v>1724</v>
      </c>
      <c r="C35" t="s">
        <v>102</v>
      </c>
      <c r="D35" t="s">
        <v>35</v>
      </c>
      <c r="E35">
        <v>660</v>
      </c>
      <c r="F35" s="21" t="s">
        <v>1667</v>
      </c>
      <c r="G35" t="s">
        <v>37</v>
      </c>
      <c r="H35" t="s">
        <v>38</v>
      </c>
      <c r="I35" t="s">
        <v>39</v>
      </c>
      <c r="J35"/>
      <c r="K35"/>
      <c r="L35" t="s">
        <v>103</v>
      </c>
      <c r="M35" t="s">
        <v>91</v>
      </c>
      <c r="N35">
        <v>1</v>
      </c>
      <c r="O35" t="s">
        <v>42</v>
      </c>
      <c r="Q35"/>
      <c r="R35" s="27">
        <v>0.01</v>
      </c>
      <c r="S35" t="s">
        <v>43</v>
      </c>
      <c r="T35"/>
      <c r="U35"/>
      <c r="V35"/>
      <c r="W35"/>
      <c r="X35"/>
      <c r="Y35"/>
      <c r="Z35"/>
      <c r="AA35"/>
      <c r="AB35"/>
      <c r="AC35"/>
      <c r="AD35"/>
      <c r="AE35"/>
      <c r="AF35"/>
      <c r="AG35"/>
      <c r="AH35"/>
      <c r="AI35">
        <v>0</v>
      </c>
    </row>
    <row r="36" spans="2:35">
      <c r="B36" s="21" t="s">
        <v>1724</v>
      </c>
      <c r="C36" t="s">
        <v>102</v>
      </c>
      <c r="D36" t="s">
        <v>35</v>
      </c>
      <c r="E36">
        <v>660</v>
      </c>
      <c r="F36" s="21" t="s">
        <v>1667</v>
      </c>
      <c r="G36" t="s">
        <v>37</v>
      </c>
      <c r="H36" t="s">
        <v>38</v>
      </c>
      <c r="I36" t="s">
        <v>39</v>
      </c>
      <c r="J36"/>
      <c r="K36"/>
      <c r="L36" t="s">
        <v>103</v>
      </c>
      <c r="M36" t="s">
        <v>91</v>
      </c>
      <c r="N36">
        <v>1</v>
      </c>
      <c r="O36" t="s">
        <v>42</v>
      </c>
      <c r="Q36"/>
      <c r="R36" s="27">
        <v>0.01</v>
      </c>
      <c r="S36" t="s">
        <v>43</v>
      </c>
      <c r="T36"/>
      <c r="U36"/>
      <c r="V36"/>
      <c r="W36"/>
      <c r="X36"/>
      <c r="Y36"/>
      <c r="Z36"/>
      <c r="AA36"/>
      <c r="AB36"/>
      <c r="AC36"/>
      <c r="AD36"/>
      <c r="AE36"/>
      <c r="AF36"/>
      <c r="AG36"/>
      <c r="AH36"/>
      <c r="AI36">
        <v>0</v>
      </c>
    </row>
    <row r="37" spans="2:35">
      <c r="B37" s="21" t="s">
        <v>1724</v>
      </c>
      <c r="C37" t="s">
        <v>106</v>
      </c>
      <c r="D37" t="s">
        <v>35</v>
      </c>
      <c r="E37">
        <v>660</v>
      </c>
      <c r="F37" s="21" t="s">
        <v>1667</v>
      </c>
      <c r="G37" t="s">
        <v>37</v>
      </c>
      <c r="H37" t="s">
        <v>38</v>
      </c>
      <c r="I37" t="s">
        <v>39</v>
      </c>
      <c r="J37"/>
      <c r="K37"/>
      <c r="L37" t="s">
        <v>103</v>
      </c>
      <c r="M37" t="s">
        <v>91</v>
      </c>
      <c r="N37">
        <v>1</v>
      </c>
      <c r="O37" t="s">
        <v>42</v>
      </c>
      <c r="Q37"/>
      <c r="R37" s="27">
        <v>0.01</v>
      </c>
      <c r="S37" t="s">
        <v>43</v>
      </c>
      <c r="T37"/>
      <c r="U37"/>
      <c r="V37"/>
      <c r="W37"/>
      <c r="X37"/>
      <c r="Y37"/>
      <c r="Z37"/>
      <c r="AA37"/>
      <c r="AB37"/>
      <c r="AC37"/>
      <c r="AD37"/>
      <c r="AE37"/>
      <c r="AF37"/>
      <c r="AG37"/>
      <c r="AH37"/>
      <c r="AI37">
        <v>0</v>
      </c>
    </row>
    <row r="38" spans="2:35">
      <c r="B38" s="21" t="s">
        <v>1724</v>
      </c>
      <c r="C38" t="s">
        <v>102</v>
      </c>
      <c r="D38" t="s">
        <v>35</v>
      </c>
      <c r="E38">
        <v>660</v>
      </c>
      <c r="F38" s="21" t="s">
        <v>1667</v>
      </c>
      <c r="G38" t="s">
        <v>37</v>
      </c>
      <c r="H38" t="s">
        <v>38</v>
      </c>
      <c r="I38" t="s">
        <v>39</v>
      </c>
      <c r="J38"/>
      <c r="K38"/>
      <c r="L38" t="s">
        <v>103</v>
      </c>
      <c r="M38" t="s">
        <v>91</v>
      </c>
      <c r="N38">
        <v>1</v>
      </c>
      <c r="O38" t="s">
        <v>42</v>
      </c>
      <c r="Q38"/>
      <c r="R38" s="27">
        <v>0.01</v>
      </c>
      <c r="S38" t="s">
        <v>43</v>
      </c>
      <c r="T38"/>
      <c r="U38"/>
      <c r="V38"/>
      <c r="W38"/>
      <c r="X38"/>
      <c r="Y38"/>
      <c r="Z38"/>
      <c r="AA38"/>
      <c r="AB38"/>
      <c r="AC38"/>
      <c r="AD38"/>
      <c r="AE38"/>
      <c r="AF38"/>
      <c r="AG38"/>
      <c r="AH38"/>
      <c r="AI38">
        <v>0</v>
      </c>
    </row>
    <row r="39" spans="2:35">
      <c r="B39" s="21" t="s">
        <v>1724</v>
      </c>
      <c r="C39" t="s">
        <v>102</v>
      </c>
      <c r="D39" t="s">
        <v>35</v>
      </c>
      <c r="E39">
        <v>660</v>
      </c>
      <c r="F39" s="21" t="s">
        <v>1667</v>
      </c>
      <c r="G39" t="s">
        <v>37</v>
      </c>
      <c r="H39" t="s">
        <v>38</v>
      </c>
      <c r="I39" t="s">
        <v>39</v>
      </c>
      <c r="J39"/>
      <c r="K39"/>
      <c r="L39" t="s">
        <v>103</v>
      </c>
      <c r="M39" t="s">
        <v>91</v>
      </c>
      <c r="N39">
        <v>1</v>
      </c>
      <c r="O39" t="s">
        <v>42</v>
      </c>
      <c r="Q39"/>
      <c r="R39" s="27">
        <v>0.01</v>
      </c>
      <c r="S39" t="s">
        <v>43</v>
      </c>
      <c r="T39"/>
      <c r="U39"/>
      <c r="V39"/>
      <c r="W39"/>
      <c r="X39"/>
      <c r="Y39"/>
      <c r="Z39"/>
      <c r="AA39"/>
      <c r="AB39"/>
      <c r="AC39"/>
      <c r="AD39"/>
      <c r="AE39"/>
      <c r="AF39"/>
      <c r="AG39"/>
      <c r="AH39"/>
      <c r="AI39">
        <v>0</v>
      </c>
    </row>
    <row r="40" spans="2:35">
      <c r="B40" s="21" t="s">
        <v>1724</v>
      </c>
      <c r="C40" t="s">
        <v>102</v>
      </c>
      <c r="D40" t="s">
        <v>35</v>
      </c>
      <c r="E40">
        <v>660</v>
      </c>
      <c r="F40" s="21" t="s">
        <v>1667</v>
      </c>
      <c r="G40" t="s">
        <v>37</v>
      </c>
      <c r="H40" t="s">
        <v>38</v>
      </c>
      <c r="I40" t="s">
        <v>39</v>
      </c>
      <c r="J40"/>
      <c r="K40"/>
      <c r="L40" t="s">
        <v>103</v>
      </c>
      <c r="M40" t="s">
        <v>91</v>
      </c>
      <c r="N40">
        <v>1</v>
      </c>
      <c r="O40" t="s">
        <v>42</v>
      </c>
      <c r="Q40"/>
      <c r="R40" s="27">
        <v>0.01</v>
      </c>
      <c r="S40" t="s">
        <v>43</v>
      </c>
      <c r="T40"/>
      <c r="U40"/>
      <c r="V40"/>
      <c r="W40"/>
      <c r="X40"/>
      <c r="Y40"/>
      <c r="Z40"/>
      <c r="AA40"/>
      <c r="AB40"/>
      <c r="AC40"/>
      <c r="AD40"/>
      <c r="AE40"/>
      <c r="AF40"/>
      <c r="AG40"/>
      <c r="AH40"/>
      <c r="AI40">
        <v>0</v>
      </c>
    </row>
    <row r="41" spans="2:35">
      <c r="B41" s="21" t="s">
        <v>1724</v>
      </c>
      <c r="C41" t="s">
        <v>102</v>
      </c>
      <c r="D41" t="s">
        <v>35</v>
      </c>
      <c r="E41">
        <v>660</v>
      </c>
      <c r="F41" s="21" t="s">
        <v>1667</v>
      </c>
      <c r="G41" t="s">
        <v>37</v>
      </c>
      <c r="H41" t="s">
        <v>38</v>
      </c>
      <c r="I41" t="s">
        <v>39</v>
      </c>
      <c r="J41"/>
      <c r="K41"/>
      <c r="L41" t="s">
        <v>103</v>
      </c>
      <c r="M41" t="s">
        <v>91</v>
      </c>
      <c r="N41">
        <v>1</v>
      </c>
      <c r="O41" t="s">
        <v>42</v>
      </c>
      <c r="Q41"/>
      <c r="R41" s="27">
        <v>0.01</v>
      </c>
      <c r="S41" t="s">
        <v>43</v>
      </c>
      <c r="T41"/>
      <c r="U41"/>
      <c r="V41"/>
      <c r="W41"/>
      <c r="X41"/>
      <c r="Y41"/>
      <c r="Z41"/>
      <c r="AA41"/>
      <c r="AB41"/>
      <c r="AC41"/>
      <c r="AD41"/>
      <c r="AE41"/>
      <c r="AF41"/>
      <c r="AG41"/>
      <c r="AH41"/>
      <c r="AI41">
        <v>0</v>
      </c>
    </row>
    <row r="42" spans="2:35">
      <c r="B42" s="21" t="s">
        <v>1724</v>
      </c>
      <c r="C42" t="s">
        <v>102</v>
      </c>
      <c r="D42" t="s">
        <v>35</v>
      </c>
      <c r="E42">
        <v>660</v>
      </c>
      <c r="F42" s="21" t="s">
        <v>1667</v>
      </c>
      <c r="G42" t="s">
        <v>37</v>
      </c>
      <c r="H42" t="s">
        <v>38</v>
      </c>
      <c r="I42" t="s">
        <v>39</v>
      </c>
      <c r="J42"/>
      <c r="K42"/>
      <c r="L42" t="s">
        <v>103</v>
      </c>
      <c r="M42" t="s">
        <v>91</v>
      </c>
      <c r="N42">
        <v>1</v>
      </c>
      <c r="O42" t="s">
        <v>42</v>
      </c>
      <c r="Q42"/>
      <c r="R42" s="27">
        <v>0.01</v>
      </c>
      <c r="S42" t="s">
        <v>43</v>
      </c>
      <c r="T42"/>
      <c r="U42"/>
      <c r="V42"/>
      <c r="W42"/>
      <c r="X42"/>
      <c r="Y42"/>
      <c r="Z42"/>
      <c r="AA42"/>
      <c r="AB42"/>
      <c r="AC42"/>
      <c r="AD42"/>
      <c r="AE42"/>
      <c r="AF42"/>
      <c r="AG42"/>
      <c r="AH42"/>
      <c r="AI42">
        <v>0</v>
      </c>
    </row>
    <row r="43" spans="2:35">
      <c r="B43" s="21" t="s">
        <v>1724</v>
      </c>
      <c r="C43" t="s">
        <v>102</v>
      </c>
      <c r="D43" t="s">
        <v>35</v>
      </c>
      <c r="E43">
        <v>660</v>
      </c>
      <c r="F43" s="21" t="s">
        <v>1667</v>
      </c>
      <c r="G43" t="s">
        <v>37</v>
      </c>
      <c r="H43" t="s">
        <v>38</v>
      </c>
      <c r="I43" t="s">
        <v>39</v>
      </c>
      <c r="J43"/>
      <c r="K43"/>
      <c r="L43" t="s">
        <v>103</v>
      </c>
      <c r="M43" t="s">
        <v>91</v>
      </c>
      <c r="N43">
        <v>1</v>
      </c>
      <c r="O43" t="s">
        <v>42</v>
      </c>
      <c r="Q43"/>
      <c r="R43" s="27">
        <v>0.01</v>
      </c>
      <c r="S43" t="s">
        <v>43</v>
      </c>
      <c r="T43"/>
      <c r="U43"/>
      <c r="V43"/>
      <c r="W43"/>
      <c r="X43"/>
      <c r="Y43"/>
      <c r="Z43"/>
      <c r="AA43"/>
      <c r="AB43"/>
      <c r="AC43"/>
      <c r="AD43"/>
      <c r="AE43"/>
      <c r="AF43"/>
      <c r="AG43"/>
      <c r="AH43"/>
      <c r="AI43">
        <v>0</v>
      </c>
    </row>
    <row r="44" spans="2:35">
      <c r="B44" s="21" t="s">
        <v>1724</v>
      </c>
      <c r="C44" t="s">
        <v>102</v>
      </c>
      <c r="D44" t="s">
        <v>35</v>
      </c>
      <c r="E44">
        <v>660</v>
      </c>
      <c r="F44" s="21" t="s">
        <v>1667</v>
      </c>
      <c r="G44" t="s">
        <v>37</v>
      </c>
      <c r="H44" t="s">
        <v>38</v>
      </c>
      <c r="I44" t="s">
        <v>39</v>
      </c>
      <c r="J44"/>
      <c r="K44"/>
      <c r="L44" t="s">
        <v>103</v>
      </c>
      <c r="M44" t="s">
        <v>91</v>
      </c>
      <c r="N44">
        <v>1</v>
      </c>
      <c r="O44" t="s">
        <v>42</v>
      </c>
      <c r="Q44"/>
      <c r="R44" s="27">
        <v>0.01</v>
      </c>
      <c r="S44" t="s">
        <v>43</v>
      </c>
      <c r="T44"/>
      <c r="U44"/>
      <c r="V44"/>
      <c r="W44"/>
      <c r="X44"/>
      <c r="Y44"/>
      <c r="Z44"/>
      <c r="AA44"/>
      <c r="AB44"/>
      <c r="AC44"/>
      <c r="AD44"/>
      <c r="AE44"/>
      <c r="AF44"/>
      <c r="AG44"/>
      <c r="AH44"/>
      <c r="AI44">
        <v>0</v>
      </c>
    </row>
    <row r="45" spans="2:35">
      <c r="B45" s="21" t="s">
        <v>1724</v>
      </c>
      <c r="C45" t="s">
        <v>102</v>
      </c>
      <c r="D45" t="s">
        <v>35</v>
      </c>
      <c r="E45">
        <v>660</v>
      </c>
      <c r="F45" s="21" t="s">
        <v>1667</v>
      </c>
      <c r="G45" t="s">
        <v>37</v>
      </c>
      <c r="H45" t="s">
        <v>38</v>
      </c>
      <c r="I45" t="s">
        <v>39</v>
      </c>
      <c r="J45"/>
      <c r="K45"/>
      <c r="L45" t="s">
        <v>103</v>
      </c>
      <c r="M45" t="s">
        <v>91</v>
      </c>
      <c r="N45">
        <v>1</v>
      </c>
      <c r="O45" t="s">
        <v>42</v>
      </c>
      <c r="Q45"/>
      <c r="R45" s="27">
        <v>0.01</v>
      </c>
      <c r="S45" t="s">
        <v>43</v>
      </c>
      <c r="T45"/>
      <c r="U45"/>
      <c r="V45"/>
      <c r="W45"/>
      <c r="X45"/>
      <c r="Y45"/>
      <c r="Z45"/>
      <c r="AA45"/>
      <c r="AB45"/>
      <c r="AC45"/>
      <c r="AD45"/>
      <c r="AE45"/>
      <c r="AF45"/>
      <c r="AG45"/>
      <c r="AH45"/>
      <c r="AI45">
        <v>0</v>
      </c>
    </row>
    <row r="46" spans="2:35">
      <c r="B46" s="21" t="s">
        <v>1747</v>
      </c>
      <c r="C46" s="21" t="s">
        <v>1671</v>
      </c>
      <c r="D46" t="s">
        <v>35</v>
      </c>
      <c r="E46">
        <v>666.67</v>
      </c>
      <c r="F46" t="s">
        <v>36</v>
      </c>
      <c r="G46" t="s">
        <v>37</v>
      </c>
      <c r="H46" t="s">
        <v>38</v>
      </c>
      <c r="I46" t="s">
        <v>39</v>
      </c>
      <c r="J46"/>
      <c r="K46"/>
      <c r="L46" s="21" t="s">
        <v>1672</v>
      </c>
      <c r="M46" t="s">
        <v>47</v>
      </c>
      <c r="N46">
        <v>1E-3</v>
      </c>
      <c r="O46" t="s">
        <v>42</v>
      </c>
      <c r="Q46"/>
      <c r="R46" s="27">
        <v>66</v>
      </c>
      <c r="S46" t="s">
        <v>1673</v>
      </c>
      <c r="U46"/>
      <c r="W46"/>
      <c r="Y46"/>
      <c r="AA46"/>
      <c r="AB46"/>
      <c r="AD46"/>
      <c r="AF46"/>
      <c r="AH46"/>
    </row>
    <row r="47" spans="2:35">
      <c r="B47" t="s">
        <v>110</v>
      </c>
      <c r="C47" t="s">
        <v>111</v>
      </c>
      <c r="D47" t="s">
        <v>35</v>
      </c>
      <c r="E47">
        <v>47.726999999999997</v>
      </c>
      <c r="F47" t="s">
        <v>36</v>
      </c>
      <c r="G47" t="s">
        <v>37</v>
      </c>
      <c r="H47" t="s">
        <v>38</v>
      </c>
      <c r="I47" t="s">
        <v>39</v>
      </c>
      <c r="J47"/>
      <c r="K47"/>
      <c r="L47" t="s">
        <v>112</v>
      </c>
      <c r="M47" t="s">
        <v>47</v>
      </c>
      <c r="N47">
        <v>1E-3</v>
      </c>
      <c r="O47" t="s">
        <v>42</v>
      </c>
      <c r="Q47">
        <v>2026</v>
      </c>
      <c r="R47" s="27">
        <v>250</v>
      </c>
      <c r="S47" t="s">
        <v>43</v>
      </c>
      <c r="U47"/>
      <c r="W47"/>
      <c r="Y47"/>
      <c r="AA47"/>
      <c r="AB47"/>
      <c r="AD47"/>
      <c r="AF47"/>
      <c r="AH47"/>
    </row>
    <row r="48" spans="2:35">
      <c r="B48" s="21" t="s">
        <v>1748</v>
      </c>
      <c r="C48" s="21" t="s">
        <v>1670</v>
      </c>
      <c r="D48" t="s">
        <v>35</v>
      </c>
      <c r="E48">
        <v>160</v>
      </c>
      <c r="F48" t="s">
        <v>36</v>
      </c>
      <c r="G48" t="s">
        <v>37</v>
      </c>
      <c r="H48" t="s">
        <v>38</v>
      </c>
      <c r="I48" t="s">
        <v>39</v>
      </c>
      <c r="J48"/>
      <c r="K48"/>
      <c r="L48" t="s">
        <v>69</v>
      </c>
      <c r="M48" t="s">
        <v>47</v>
      </c>
      <c r="N48">
        <v>1E-3</v>
      </c>
      <c r="O48" t="s">
        <v>42</v>
      </c>
      <c r="Q48">
        <v>2026</v>
      </c>
      <c r="R48" s="27">
        <v>66</v>
      </c>
      <c r="S48" t="s">
        <v>43</v>
      </c>
      <c r="U48"/>
      <c r="W48"/>
      <c r="Y48"/>
      <c r="AA48"/>
      <c r="AB48"/>
      <c r="AD48"/>
      <c r="AF48"/>
      <c r="AH48"/>
    </row>
    <row r="49" spans="2:34">
      <c r="B49" s="21" t="s">
        <v>1750</v>
      </c>
      <c r="C49" s="21" t="s">
        <v>1674</v>
      </c>
      <c r="D49" t="s">
        <v>35</v>
      </c>
      <c r="E49">
        <v>7250</v>
      </c>
      <c r="F49" t="s">
        <v>36</v>
      </c>
      <c r="G49" t="s">
        <v>37</v>
      </c>
      <c r="H49" t="s">
        <v>38</v>
      </c>
      <c r="I49" t="s">
        <v>39</v>
      </c>
      <c r="J49"/>
      <c r="K49"/>
      <c r="L49" s="21" t="s">
        <v>1672</v>
      </c>
      <c r="M49" t="s">
        <v>47</v>
      </c>
      <c r="N49">
        <v>1E-3</v>
      </c>
      <c r="O49" t="s">
        <v>42</v>
      </c>
      <c r="Q49">
        <v>2026</v>
      </c>
      <c r="R49" s="27">
        <v>66</v>
      </c>
      <c r="S49" t="s">
        <v>43</v>
      </c>
      <c r="U49"/>
      <c r="W49"/>
      <c r="Y49"/>
      <c r="AA49"/>
      <c r="AB49"/>
      <c r="AD49"/>
      <c r="AF49"/>
      <c r="AH49"/>
    </row>
    <row r="50" spans="2:34">
      <c r="B50" t="s">
        <v>121</v>
      </c>
      <c r="C50" t="s">
        <v>122</v>
      </c>
      <c r="D50" t="s">
        <v>35</v>
      </c>
      <c r="E50">
        <v>2829.29</v>
      </c>
      <c r="F50" t="s">
        <v>53</v>
      </c>
      <c r="G50" t="s">
        <v>37</v>
      </c>
      <c r="H50" t="s">
        <v>38</v>
      </c>
      <c r="I50" t="s">
        <v>39</v>
      </c>
      <c r="J50"/>
      <c r="K50"/>
      <c r="L50" t="s">
        <v>123</v>
      </c>
      <c r="M50" s="21" t="s">
        <v>1675</v>
      </c>
      <c r="N50">
        <v>1E-3</v>
      </c>
      <c r="O50" t="s">
        <v>42</v>
      </c>
      <c r="Q50">
        <v>2026</v>
      </c>
      <c r="R50" s="27">
        <v>66</v>
      </c>
      <c r="S50" t="s">
        <v>43</v>
      </c>
      <c r="U50"/>
      <c r="W50"/>
      <c r="Y50"/>
      <c r="AA50"/>
      <c r="AB50"/>
      <c r="AD50"/>
      <c r="AF50"/>
      <c r="AH50"/>
    </row>
    <row r="51" spans="2:34">
      <c r="B51" t="s">
        <v>126</v>
      </c>
      <c r="C51" t="s">
        <v>127</v>
      </c>
      <c r="D51" t="s">
        <v>35</v>
      </c>
      <c r="E51">
        <v>4700</v>
      </c>
      <c r="F51" t="s">
        <v>36</v>
      </c>
      <c r="G51" t="s">
        <v>37</v>
      </c>
      <c r="H51" t="s">
        <v>38</v>
      </c>
      <c r="I51" t="s">
        <v>39</v>
      </c>
      <c r="J51"/>
      <c r="K51"/>
      <c r="L51" t="s">
        <v>125</v>
      </c>
      <c r="M51" t="s">
        <v>47</v>
      </c>
      <c r="N51">
        <v>1E-3</v>
      </c>
      <c r="O51" t="s">
        <v>42</v>
      </c>
      <c r="Q51">
        <v>2026</v>
      </c>
      <c r="R51" s="27">
        <v>66</v>
      </c>
      <c r="S51" t="s">
        <v>43</v>
      </c>
      <c r="U51"/>
      <c r="W51"/>
      <c r="Y51"/>
      <c r="AA51"/>
      <c r="AB51"/>
      <c r="AD51"/>
      <c r="AF51"/>
      <c r="AH51"/>
    </row>
    <row r="52" spans="2:34">
      <c r="B52" t="s">
        <v>118</v>
      </c>
      <c r="C52" t="s">
        <v>128</v>
      </c>
      <c r="D52" t="s">
        <v>35</v>
      </c>
      <c r="E52">
        <v>1500</v>
      </c>
      <c r="F52" t="s">
        <v>36</v>
      </c>
      <c r="G52" t="s">
        <v>37</v>
      </c>
      <c r="H52" t="s">
        <v>38</v>
      </c>
      <c r="I52" t="s">
        <v>39</v>
      </c>
      <c r="J52"/>
      <c r="K52"/>
      <c r="L52" t="s">
        <v>125</v>
      </c>
      <c r="M52" t="s">
        <v>47</v>
      </c>
      <c r="N52">
        <v>1E-3</v>
      </c>
      <c r="O52" t="s">
        <v>42</v>
      </c>
      <c r="Q52"/>
      <c r="R52" s="27">
        <v>66</v>
      </c>
      <c r="S52" t="s">
        <v>43</v>
      </c>
      <c r="U52"/>
      <c r="W52"/>
      <c r="Y52"/>
      <c r="AA52"/>
      <c r="AB52"/>
      <c r="AD52"/>
      <c r="AF52"/>
      <c r="AH52"/>
    </row>
    <row r="53" spans="2:34">
      <c r="B53" s="21" t="s">
        <v>1676</v>
      </c>
      <c r="C53" t="s">
        <v>130</v>
      </c>
      <c r="D53" t="s">
        <v>35</v>
      </c>
      <c r="E53">
        <v>249</v>
      </c>
      <c r="F53" t="s">
        <v>36</v>
      </c>
      <c r="G53" t="s">
        <v>37</v>
      </c>
      <c r="H53" t="s">
        <v>38</v>
      </c>
      <c r="I53" t="s">
        <v>39</v>
      </c>
      <c r="J53"/>
      <c r="K53"/>
      <c r="L53" s="21" t="s">
        <v>1677</v>
      </c>
      <c r="M53" t="s">
        <v>47</v>
      </c>
      <c r="N53">
        <v>1E-3</v>
      </c>
      <c r="O53" t="s">
        <v>42</v>
      </c>
      <c r="Q53"/>
      <c r="R53" s="27">
        <v>67</v>
      </c>
      <c r="S53" t="s">
        <v>43</v>
      </c>
      <c r="T53"/>
      <c r="U53"/>
      <c r="V53"/>
      <c r="W53"/>
      <c r="X53"/>
      <c r="Y53"/>
      <c r="Z53"/>
      <c r="AA53"/>
      <c r="AB53"/>
      <c r="AD53"/>
      <c r="AF53"/>
      <c r="AH53"/>
    </row>
    <row r="54" spans="2:34">
      <c r="B54" s="21" t="s">
        <v>1678</v>
      </c>
      <c r="C54" t="s">
        <v>134</v>
      </c>
      <c r="D54" t="s">
        <v>35</v>
      </c>
      <c r="E54">
        <v>49.6</v>
      </c>
      <c r="F54" t="s">
        <v>36</v>
      </c>
      <c r="G54" t="s">
        <v>37</v>
      </c>
      <c r="H54" t="s">
        <v>38</v>
      </c>
      <c r="I54" t="s">
        <v>39</v>
      </c>
      <c r="J54"/>
      <c r="K54"/>
      <c r="L54" s="21" t="s">
        <v>1677</v>
      </c>
      <c r="M54" t="s">
        <v>47</v>
      </c>
      <c r="N54">
        <v>1E-3</v>
      </c>
      <c r="O54" t="s">
        <v>42</v>
      </c>
      <c r="Q54">
        <v>2026</v>
      </c>
      <c r="R54" s="27">
        <v>67</v>
      </c>
      <c r="S54" t="s">
        <v>43</v>
      </c>
      <c r="U54"/>
      <c r="W54"/>
      <c r="Y54"/>
      <c r="AA54"/>
      <c r="AB54"/>
      <c r="AD54"/>
      <c r="AF54"/>
      <c r="AH54"/>
    </row>
    <row r="55" spans="2:34">
      <c r="B55" t="s">
        <v>137</v>
      </c>
      <c r="C55" t="s">
        <v>137</v>
      </c>
      <c r="D55" t="s">
        <v>35</v>
      </c>
      <c r="E55">
        <v>29.8</v>
      </c>
      <c r="F55" t="s">
        <v>36</v>
      </c>
      <c r="G55" t="s">
        <v>37</v>
      </c>
      <c r="H55" t="s">
        <v>38</v>
      </c>
      <c r="I55" t="s">
        <v>39</v>
      </c>
      <c r="J55"/>
      <c r="K55"/>
      <c r="L55" s="21" t="s">
        <v>1677</v>
      </c>
      <c r="M55" t="s">
        <v>47</v>
      </c>
      <c r="N55">
        <v>1E-3</v>
      </c>
      <c r="O55" t="s">
        <v>42</v>
      </c>
      <c r="Q55">
        <v>2026</v>
      </c>
      <c r="R55" s="27">
        <v>67</v>
      </c>
      <c r="S55" t="s">
        <v>43</v>
      </c>
      <c r="U55"/>
      <c r="W55"/>
      <c r="Y55"/>
      <c r="AA55"/>
      <c r="AB55"/>
      <c r="AD55"/>
      <c r="AF55"/>
      <c r="AH55"/>
    </row>
    <row r="56" spans="2:34">
      <c r="B56" t="s">
        <v>139</v>
      </c>
      <c r="C56" t="s">
        <v>140</v>
      </c>
      <c r="D56" t="s">
        <v>35</v>
      </c>
      <c r="E56">
        <v>29.8</v>
      </c>
      <c r="F56" t="s">
        <v>36</v>
      </c>
      <c r="G56" t="s">
        <v>37</v>
      </c>
      <c r="H56" t="s">
        <v>38</v>
      </c>
      <c r="I56" t="s">
        <v>39</v>
      </c>
      <c r="J56"/>
      <c r="K56"/>
      <c r="L56" s="21" t="s">
        <v>1677</v>
      </c>
      <c r="M56" t="s">
        <v>47</v>
      </c>
      <c r="N56">
        <v>1E-3</v>
      </c>
      <c r="O56" t="s">
        <v>42</v>
      </c>
      <c r="Q56">
        <v>2026</v>
      </c>
      <c r="R56" s="27">
        <v>67</v>
      </c>
      <c r="S56" t="s">
        <v>43</v>
      </c>
      <c r="U56"/>
      <c r="W56"/>
      <c r="Y56"/>
      <c r="AA56"/>
      <c r="AB56"/>
      <c r="AD56"/>
      <c r="AF56"/>
      <c r="AH56"/>
    </row>
    <row r="57" spans="2:34">
      <c r="B57" t="s">
        <v>141</v>
      </c>
      <c r="C57" t="s">
        <v>142</v>
      </c>
      <c r="D57" t="s">
        <v>35</v>
      </c>
      <c r="E57">
        <v>29.8</v>
      </c>
      <c r="F57" t="s">
        <v>36</v>
      </c>
      <c r="G57" t="s">
        <v>37</v>
      </c>
      <c r="H57" t="s">
        <v>38</v>
      </c>
      <c r="I57" t="s">
        <v>39</v>
      </c>
      <c r="J57"/>
      <c r="K57"/>
      <c r="L57" s="21" t="s">
        <v>1677</v>
      </c>
      <c r="M57" t="s">
        <v>47</v>
      </c>
      <c r="N57">
        <v>1E-3</v>
      </c>
      <c r="O57" t="s">
        <v>42</v>
      </c>
      <c r="Q57">
        <v>2026</v>
      </c>
      <c r="R57" s="27">
        <v>67</v>
      </c>
      <c r="S57" t="s">
        <v>43</v>
      </c>
      <c r="U57"/>
      <c r="W57"/>
      <c r="Y57"/>
      <c r="AA57"/>
      <c r="AB57"/>
      <c r="AD57"/>
      <c r="AF57"/>
      <c r="AH57"/>
    </row>
    <row r="58" spans="2:34">
      <c r="B58" t="s">
        <v>143</v>
      </c>
      <c r="C58" t="s">
        <v>144</v>
      </c>
      <c r="D58" t="s">
        <v>35</v>
      </c>
      <c r="E58">
        <v>90</v>
      </c>
      <c r="F58" t="s">
        <v>36</v>
      </c>
      <c r="G58" t="s">
        <v>37</v>
      </c>
      <c r="H58" t="s">
        <v>38</v>
      </c>
      <c r="I58" t="s">
        <v>39</v>
      </c>
      <c r="J58"/>
      <c r="K58"/>
      <c r="L58" s="21" t="s">
        <v>1677</v>
      </c>
      <c r="M58" t="s">
        <v>47</v>
      </c>
      <c r="N58">
        <v>1E-3</v>
      </c>
      <c r="O58" t="s">
        <v>42</v>
      </c>
      <c r="Q58">
        <v>2026</v>
      </c>
      <c r="R58" s="27">
        <v>67</v>
      </c>
      <c r="S58" t="s">
        <v>43</v>
      </c>
      <c r="U58"/>
      <c r="W58"/>
      <c r="Y58"/>
      <c r="AA58"/>
      <c r="AB58"/>
      <c r="AD58"/>
      <c r="AF58"/>
      <c r="AH58"/>
    </row>
    <row r="59" spans="2:34">
      <c r="B59" s="21" t="s">
        <v>1679</v>
      </c>
      <c r="C59" s="21" t="s">
        <v>1680</v>
      </c>
      <c r="D59" t="s">
        <v>35</v>
      </c>
      <c r="E59">
        <v>1250</v>
      </c>
      <c r="F59" t="s">
        <v>53</v>
      </c>
      <c r="G59" t="s">
        <v>37</v>
      </c>
      <c r="H59" t="s">
        <v>38</v>
      </c>
      <c r="I59" t="s">
        <v>39</v>
      </c>
      <c r="J59"/>
      <c r="K59"/>
      <c r="L59" s="17" t="s">
        <v>54</v>
      </c>
      <c r="M59" t="s">
        <v>47</v>
      </c>
      <c r="N59">
        <v>1E-3</v>
      </c>
      <c r="O59" t="s">
        <v>42</v>
      </c>
      <c r="Q59">
        <v>2026</v>
      </c>
      <c r="R59" s="27">
        <v>75</v>
      </c>
      <c r="S59" t="s">
        <v>43</v>
      </c>
      <c r="U59"/>
      <c r="W59"/>
      <c r="Y59"/>
      <c r="AA59"/>
      <c r="AB59"/>
      <c r="AD59"/>
      <c r="AF59"/>
      <c r="AH59"/>
    </row>
    <row r="60" spans="2:34">
      <c r="B60" t="s">
        <v>146</v>
      </c>
      <c r="C60" t="s">
        <v>147</v>
      </c>
      <c r="D60" t="s">
        <v>35</v>
      </c>
      <c r="E60">
        <v>11000</v>
      </c>
      <c r="F60" t="s">
        <v>36</v>
      </c>
      <c r="G60" t="s">
        <v>37</v>
      </c>
      <c r="H60" t="s">
        <v>38</v>
      </c>
      <c r="I60" t="s">
        <v>39</v>
      </c>
      <c r="J60"/>
      <c r="K60"/>
      <c r="L60" s="17" t="s">
        <v>54</v>
      </c>
      <c r="M60" t="s">
        <v>76</v>
      </c>
      <c r="N60">
        <v>1E-3</v>
      </c>
      <c r="O60" t="s">
        <v>42</v>
      </c>
      <c r="Q60">
        <v>2022</v>
      </c>
      <c r="R60" s="27">
        <v>75</v>
      </c>
      <c r="S60" t="s">
        <v>43</v>
      </c>
      <c r="U60"/>
      <c r="W60"/>
      <c r="Y60"/>
      <c r="AA60"/>
      <c r="AB60"/>
      <c r="AD60"/>
      <c r="AF60"/>
      <c r="AH60"/>
    </row>
    <row r="61" spans="2:34">
      <c r="B61" s="21" t="s">
        <v>1681</v>
      </c>
      <c r="C61" t="s">
        <v>148</v>
      </c>
      <c r="D61" t="s">
        <v>35</v>
      </c>
      <c r="E61">
        <v>2127.65</v>
      </c>
      <c r="F61" t="s">
        <v>53</v>
      </c>
      <c r="G61" t="s">
        <v>37</v>
      </c>
      <c r="H61" t="s">
        <v>38</v>
      </c>
      <c r="I61" t="s">
        <v>39</v>
      </c>
      <c r="J61"/>
      <c r="K61"/>
      <c r="L61" s="17" t="s">
        <v>54</v>
      </c>
      <c r="M61" t="s">
        <v>76</v>
      </c>
      <c r="N61">
        <v>1E-3</v>
      </c>
      <c r="O61" t="s">
        <v>42</v>
      </c>
      <c r="Q61">
        <v>2022</v>
      </c>
      <c r="R61" s="27">
        <v>75</v>
      </c>
      <c r="S61" t="s">
        <v>43</v>
      </c>
      <c r="U61"/>
      <c r="W61"/>
      <c r="Y61"/>
      <c r="AA61"/>
      <c r="AB61"/>
      <c r="AD61"/>
      <c r="AF61"/>
      <c r="AH61"/>
    </row>
    <row r="62" spans="2:34">
      <c r="B62" s="21" t="s">
        <v>1682</v>
      </c>
      <c r="C62" t="s">
        <v>150</v>
      </c>
      <c r="D62" t="s">
        <v>35</v>
      </c>
      <c r="E62">
        <v>1890</v>
      </c>
      <c r="F62" t="s">
        <v>53</v>
      </c>
      <c r="G62" t="s">
        <v>37</v>
      </c>
      <c r="H62" t="s">
        <v>38</v>
      </c>
      <c r="I62" t="s">
        <v>39</v>
      </c>
      <c r="J62"/>
      <c r="K62"/>
      <c r="L62" s="17" t="s">
        <v>54</v>
      </c>
      <c r="M62" t="s">
        <v>41</v>
      </c>
      <c r="N62">
        <v>1E-3</v>
      </c>
      <c r="O62" t="s">
        <v>42</v>
      </c>
      <c r="Q62">
        <v>2025</v>
      </c>
      <c r="R62" s="27">
        <v>75</v>
      </c>
      <c r="S62" t="s">
        <v>43</v>
      </c>
      <c r="U62"/>
      <c r="W62"/>
      <c r="Y62"/>
      <c r="AA62"/>
      <c r="AB62"/>
      <c r="AD62"/>
      <c r="AF62"/>
      <c r="AH62"/>
    </row>
    <row r="63" spans="2:34">
      <c r="B63" s="21" t="s">
        <v>1683</v>
      </c>
      <c r="C63" t="s">
        <v>153</v>
      </c>
      <c r="D63" t="s">
        <v>35</v>
      </c>
      <c r="E63">
        <v>600</v>
      </c>
      <c r="F63" t="s">
        <v>53</v>
      </c>
      <c r="G63" t="s">
        <v>37</v>
      </c>
      <c r="H63" t="s">
        <v>38</v>
      </c>
      <c r="I63" t="s">
        <v>39</v>
      </c>
      <c r="J63"/>
      <c r="K63"/>
      <c r="L63" s="21" t="s">
        <v>1677</v>
      </c>
      <c r="M63" t="s">
        <v>47</v>
      </c>
      <c r="N63">
        <v>1E-3</v>
      </c>
      <c r="O63" t="s">
        <v>42</v>
      </c>
      <c r="Q63">
        <v>2025</v>
      </c>
      <c r="R63" s="27">
        <v>67</v>
      </c>
      <c r="S63" t="s">
        <v>43</v>
      </c>
      <c r="U63"/>
      <c r="W63"/>
      <c r="Y63"/>
      <c r="AA63"/>
      <c r="AB63"/>
      <c r="AD63"/>
      <c r="AF63"/>
      <c r="AH63"/>
    </row>
    <row r="64" spans="2:34">
      <c r="B64" s="21" t="s">
        <v>1684</v>
      </c>
      <c r="C64" t="s">
        <v>114</v>
      </c>
      <c r="D64" t="s">
        <v>35</v>
      </c>
      <c r="E64">
        <v>600</v>
      </c>
      <c r="F64" t="s">
        <v>53</v>
      </c>
      <c r="G64" t="s">
        <v>37</v>
      </c>
      <c r="H64" t="s">
        <v>38</v>
      </c>
      <c r="I64" t="s">
        <v>39</v>
      </c>
      <c r="J64"/>
      <c r="K64"/>
      <c r="L64" s="21" t="s">
        <v>1677</v>
      </c>
      <c r="M64" t="s">
        <v>47</v>
      </c>
      <c r="N64">
        <v>1E-3</v>
      </c>
      <c r="O64" t="s">
        <v>42</v>
      </c>
      <c r="Q64">
        <v>2026</v>
      </c>
      <c r="R64" s="27">
        <v>67</v>
      </c>
      <c r="S64" t="s">
        <v>43</v>
      </c>
      <c r="U64"/>
      <c r="W64"/>
      <c r="Y64"/>
      <c r="AA64"/>
      <c r="AB64"/>
      <c r="AD64"/>
      <c r="AF64"/>
      <c r="AH64"/>
    </row>
    <row r="65" spans="2:35">
      <c r="B65" s="21" t="s">
        <v>1685</v>
      </c>
      <c r="C65" t="s">
        <v>156</v>
      </c>
      <c r="D65" t="s">
        <v>35</v>
      </c>
      <c r="E65">
        <v>600</v>
      </c>
      <c r="F65" t="s">
        <v>53</v>
      </c>
      <c r="G65" t="s">
        <v>37</v>
      </c>
      <c r="H65" t="s">
        <v>38</v>
      </c>
      <c r="I65" t="s">
        <v>39</v>
      </c>
      <c r="J65"/>
      <c r="K65"/>
      <c r="L65" s="21" t="s">
        <v>1677</v>
      </c>
      <c r="M65" t="s">
        <v>47</v>
      </c>
      <c r="N65">
        <v>1E-3</v>
      </c>
      <c r="O65" t="s">
        <v>42</v>
      </c>
      <c r="Q65">
        <v>2026</v>
      </c>
      <c r="R65" s="27">
        <v>67</v>
      </c>
      <c r="S65" t="s">
        <v>43</v>
      </c>
      <c r="U65"/>
      <c r="W65"/>
      <c r="Y65"/>
      <c r="AA65"/>
      <c r="AB65"/>
      <c r="AD65"/>
      <c r="AF65"/>
      <c r="AH65"/>
    </row>
    <row r="66" spans="2:35">
      <c r="B66" s="21" t="s">
        <v>1686</v>
      </c>
      <c r="C66" t="s">
        <v>158</v>
      </c>
      <c r="D66" t="s">
        <v>35</v>
      </c>
      <c r="E66">
        <v>600</v>
      </c>
      <c r="F66" t="s">
        <v>53</v>
      </c>
      <c r="G66" t="s">
        <v>37</v>
      </c>
      <c r="H66" t="s">
        <v>38</v>
      </c>
      <c r="I66" t="s">
        <v>39</v>
      </c>
      <c r="J66"/>
      <c r="K66"/>
      <c r="L66" s="21" t="s">
        <v>1677</v>
      </c>
      <c r="M66" t="s">
        <v>47</v>
      </c>
      <c r="N66">
        <v>1E-3</v>
      </c>
      <c r="O66" t="s">
        <v>42</v>
      </c>
      <c r="Q66">
        <v>2025</v>
      </c>
      <c r="R66" s="27">
        <v>67</v>
      </c>
      <c r="S66" t="s">
        <v>43</v>
      </c>
      <c r="U66"/>
      <c r="W66"/>
      <c r="Y66"/>
      <c r="AA66"/>
      <c r="AB66"/>
      <c r="AD66"/>
      <c r="AF66"/>
      <c r="AH66"/>
    </row>
    <row r="67" spans="2:35">
      <c r="B67" s="21" t="s">
        <v>1687</v>
      </c>
      <c r="C67" t="s">
        <v>114</v>
      </c>
      <c r="D67" t="s">
        <v>35</v>
      </c>
      <c r="E67">
        <v>600</v>
      </c>
      <c r="F67" t="s">
        <v>53</v>
      </c>
      <c r="G67" t="s">
        <v>37</v>
      </c>
      <c r="H67" t="s">
        <v>38</v>
      </c>
      <c r="I67" t="s">
        <v>39</v>
      </c>
      <c r="J67"/>
      <c r="K67"/>
      <c r="L67" s="21" t="s">
        <v>1677</v>
      </c>
      <c r="M67" t="s">
        <v>47</v>
      </c>
      <c r="N67">
        <v>1E-3</v>
      </c>
      <c r="O67" t="s">
        <v>42</v>
      </c>
      <c r="Q67">
        <v>2026</v>
      </c>
      <c r="R67" s="27">
        <v>67</v>
      </c>
      <c r="S67" t="s">
        <v>43</v>
      </c>
      <c r="U67"/>
      <c r="W67"/>
      <c r="Y67"/>
      <c r="AA67"/>
      <c r="AB67"/>
      <c r="AD67"/>
      <c r="AF67"/>
      <c r="AH67"/>
    </row>
    <row r="68" spans="2:35">
      <c r="B68" s="21" t="s">
        <v>1688</v>
      </c>
      <c r="C68" t="s">
        <v>160</v>
      </c>
      <c r="D68" t="s">
        <v>35</v>
      </c>
      <c r="E68">
        <v>600</v>
      </c>
      <c r="F68" t="s">
        <v>53</v>
      </c>
      <c r="G68" t="s">
        <v>37</v>
      </c>
      <c r="H68" t="s">
        <v>38</v>
      </c>
      <c r="I68" t="s">
        <v>39</v>
      </c>
      <c r="J68"/>
      <c r="K68"/>
      <c r="L68" s="21" t="s">
        <v>1677</v>
      </c>
      <c r="M68" t="s">
        <v>47</v>
      </c>
      <c r="N68">
        <v>1E-3</v>
      </c>
      <c r="O68" t="s">
        <v>42</v>
      </c>
      <c r="Q68"/>
      <c r="R68" s="27">
        <v>67</v>
      </c>
      <c r="S68" t="s">
        <v>43</v>
      </c>
      <c r="T68"/>
      <c r="U68"/>
      <c r="V68"/>
      <c r="W68"/>
      <c r="X68"/>
      <c r="Y68"/>
      <c r="Z68"/>
      <c r="AA68"/>
      <c r="AB68"/>
      <c r="AC68"/>
      <c r="AD68"/>
      <c r="AE68"/>
      <c r="AF68"/>
      <c r="AG68"/>
      <c r="AH68"/>
      <c r="AI68">
        <v>0</v>
      </c>
    </row>
    <row r="69" spans="2:35">
      <c r="B69" s="21" t="s">
        <v>1689</v>
      </c>
      <c r="C69" t="s">
        <v>162</v>
      </c>
      <c r="D69" t="s">
        <v>35</v>
      </c>
      <c r="E69">
        <v>600</v>
      </c>
      <c r="F69" t="s">
        <v>53</v>
      </c>
      <c r="G69" t="s">
        <v>37</v>
      </c>
      <c r="H69" t="s">
        <v>38</v>
      </c>
      <c r="I69" t="s">
        <v>39</v>
      </c>
      <c r="J69"/>
      <c r="K69"/>
      <c r="L69" s="21" t="s">
        <v>1677</v>
      </c>
      <c r="M69" t="s">
        <v>47</v>
      </c>
      <c r="N69">
        <v>1E-3</v>
      </c>
      <c r="O69" t="s">
        <v>42</v>
      </c>
      <c r="Q69">
        <v>2026</v>
      </c>
      <c r="R69" s="27">
        <v>67</v>
      </c>
      <c r="S69" t="s">
        <v>43</v>
      </c>
      <c r="U69"/>
      <c r="W69"/>
      <c r="Y69"/>
      <c r="AA69"/>
      <c r="AB69"/>
      <c r="AD69"/>
      <c r="AF69"/>
      <c r="AH69"/>
    </row>
    <row r="70" spans="2:35">
      <c r="B70" s="21" t="s">
        <v>1690</v>
      </c>
      <c r="C70" t="s">
        <v>114</v>
      </c>
      <c r="D70" t="s">
        <v>35</v>
      </c>
      <c r="E70">
        <v>250</v>
      </c>
      <c r="F70" t="s">
        <v>53</v>
      </c>
      <c r="G70" t="s">
        <v>37</v>
      </c>
      <c r="H70" t="s">
        <v>38</v>
      </c>
      <c r="I70" t="s">
        <v>39</v>
      </c>
      <c r="J70"/>
      <c r="K70"/>
      <c r="L70" s="21" t="s">
        <v>1677</v>
      </c>
      <c r="M70" t="s">
        <v>47</v>
      </c>
      <c r="N70">
        <v>1E-3</v>
      </c>
      <c r="O70" t="s">
        <v>42</v>
      </c>
      <c r="Q70">
        <v>2026</v>
      </c>
      <c r="R70" s="27">
        <v>67</v>
      </c>
      <c r="S70" t="s">
        <v>43</v>
      </c>
      <c r="U70"/>
      <c r="W70"/>
      <c r="Y70"/>
      <c r="AA70"/>
      <c r="AB70"/>
      <c r="AD70"/>
      <c r="AF70"/>
      <c r="AH70"/>
    </row>
    <row r="71" spans="2:35">
      <c r="B71" s="21" t="s">
        <v>1691</v>
      </c>
      <c r="C71" t="s">
        <v>162</v>
      </c>
      <c r="D71" t="s">
        <v>35</v>
      </c>
      <c r="E71">
        <v>250</v>
      </c>
      <c r="F71" t="s">
        <v>53</v>
      </c>
      <c r="G71" t="s">
        <v>37</v>
      </c>
      <c r="H71" t="s">
        <v>38</v>
      </c>
      <c r="I71" t="s">
        <v>39</v>
      </c>
      <c r="J71"/>
      <c r="K71"/>
      <c r="L71" s="21" t="s">
        <v>1677</v>
      </c>
      <c r="M71" t="s">
        <v>47</v>
      </c>
      <c r="N71">
        <v>1E-3</v>
      </c>
      <c r="O71" t="s">
        <v>42</v>
      </c>
      <c r="Q71">
        <v>2026</v>
      </c>
      <c r="R71" s="27">
        <v>67</v>
      </c>
      <c r="S71" t="s">
        <v>43</v>
      </c>
      <c r="U71"/>
      <c r="W71"/>
      <c r="Y71"/>
      <c r="AA71"/>
      <c r="AB71"/>
      <c r="AD71"/>
      <c r="AF71"/>
      <c r="AH71"/>
    </row>
    <row r="72" spans="2:35">
      <c r="B72" s="21" t="s">
        <v>1693</v>
      </c>
      <c r="C72" s="21" t="s">
        <v>1692</v>
      </c>
      <c r="D72" t="s">
        <v>35</v>
      </c>
      <c r="E72">
        <v>1300</v>
      </c>
      <c r="F72" t="s">
        <v>36</v>
      </c>
      <c r="G72" t="s">
        <v>37</v>
      </c>
      <c r="H72" t="s">
        <v>38</v>
      </c>
      <c r="I72" t="s">
        <v>39</v>
      </c>
      <c r="J72"/>
      <c r="K72"/>
      <c r="L72" s="21" t="s">
        <v>1677</v>
      </c>
      <c r="M72" t="s">
        <v>47</v>
      </c>
      <c r="N72">
        <v>1E-3</v>
      </c>
      <c r="O72" t="s">
        <v>42</v>
      </c>
      <c r="Q72">
        <v>2026</v>
      </c>
      <c r="R72" s="27">
        <v>67</v>
      </c>
      <c r="S72" t="s">
        <v>43</v>
      </c>
      <c r="U72"/>
      <c r="W72"/>
      <c r="Y72"/>
      <c r="AA72"/>
      <c r="AB72"/>
      <c r="AD72"/>
      <c r="AF72"/>
      <c r="AH72"/>
    </row>
    <row r="73" spans="2:35">
      <c r="B73" t="s">
        <v>164</v>
      </c>
      <c r="C73" t="s">
        <v>165</v>
      </c>
      <c r="D73" t="s">
        <v>35</v>
      </c>
      <c r="E73">
        <v>1066</v>
      </c>
      <c r="F73" t="s">
        <v>36</v>
      </c>
      <c r="G73" t="s">
        <v>37</v>
      </c>
      <c r="H73" t="s">
        <v>38</v>
      </c>
      <c r="I73" t="s">
        <v>39</v>
      </c>
      <c r="J73"/>
      <c r="K73"/>
      <c r="L73" s="21" t="s">
        <v>1677</v>
      </c>
      <c r="M73" t="s">
        <v>47</v>
      </c>
      <c r="N73">
        <v>1E-3</v>
      </c>
      <c r="O73" t="s">
        <v>42</v>
      </c>
      <c r="Q73">
        <v>2026</v>
      </c>
      <c r="R73" s="27">
        <v>67</v>
      </c>
      <c r="S73" t="s">
        <v>43</v>
      </c>
      <c r="U73"/>
      <c r="W73"/>
      <c r="Y73"/>
      <c r="AA73"/>
      <c r="AB73"/>
      <c r="AD73"/>
      <c r="AF73"/>
      <c r="AH73"/>
    </row>
    <row r="74" spans="2:35">
      <c r="B74" t="s">
        <v>166</v>
      </c>
      <c r="C74" t="s">
        <v>167</v>
      </c>
      <c r="D74" t="s">
        <v>35</v>
      </c>
      <c r="E74">
        <v>1828</v>
      </c>
      <c r="F74" t="s">
        <v>36</v>
      </c>
      <c r="G74" t="s">
        <v>37</v>
      </c>
      <c r="H74" t="s">
        <v>38</v>
      </c>
      <c r="I74" t="s">
        <v>39</v>
      </c>
      <c r="J74"/>
      <c r="K74"/>
      <c r="L74" s="21" t="s">
        <v>1677</v>
      </c>
      <c r="M74" t="s">
        <v>76</v>
      </c>
      <c r="N74">
        <v>1E-3</v>
      </c>
      <c r="O74" t="s">
        <v>42</v>
      </c>
      <c r="Q74">
        <v>2022</v>
      </c>
      <c r="R74" s="27">
        <v>67</v>
      </c>
      <c r="S74" t="s">
        <v>43</v>
      </c>
      <c r="U74"/>
      <c r="W74"/>
      <c r="Y74"/>
      <c r="AA74"/>
      <c r="AB74"/>
      <c r="AD74"/>
      <c r="AF74"/>
      <c r="AH74"/>
    </row>
    <row r="75" spans="2:35">
      <c r="B75" s="21" t="s">
        <v>1694</v>
      </c>
      <c r="C75" t="s">
        <v>114</v>
      </c>
      <c r="D75" t="s">
        <v>35</v>
      </c>
      <c r="E75">
        <v>12750</v>
      </c>
      <c r="F75" t="s">
        <v>36</v>
      </c>
      <c r="G75" t="s">
        <v>37</v>
      </c>
      <c r="H75" t="s">
        <v>38</v>
      </c>
      <c r="I75" t="s">
        <v>39</v>
      </c>
      <c r="J75"/>
      <c r="K75"/>
      <c r="L75" t="s">
        <v>69</v>
      </c>
      <c r="M75" t="s">
        <v>47</v>
      </c>
      <c r="N75">
        <v>1E-3</v>
      </c>
      <c r="O75" t="s">
        <v>42</v>
      </c>
      <c r="Q75">
        <v>2026</v>
      </c>
      <c r="R75" s="27">
        <v>67</v>
      </c>
      <c r="S75" t="s">
        <v>43</v>
      </c>
      <c r="U75"/>
      <c r="W75"/>
      <c r="Y75"/>
      <c r="AA75"/>
      <c r="AB75"/>
      <c r="AD75"/>
      <c r="AF75"/>
      <c r="AH75"/>
    </row>
    <row r="76" spans="2:35">
      <c r="B76" s="21" t="s">
        <v>1695</v>
      </c>
      <c r="C76" t="s">
        <v>169</v>
      </c>
      <c r="D76" t="s">
        <v>35</v>
      </c>
      <c r="E76">
        <v>3000</v>
      </c>
      <c r="F76" t="s">
        <v>36</v>
      </c>
      <c r="G76" t="s">
        <v>37</v>
      </c>
      <c r="H76" t="s">
        <v>38</v>
      </c>
      <c r="I76" t="s">
        <v>39</v>
      </c>
      <c r="J76"/>
      <c r="K76"/>
      <c r="L76" t="s">
        <v>170</v>
      </c>
      <c r="M76" t="s">
        <v>47</v>
      </c>
      <c r="N76">
        <v>1E-3</v>
      </c>
      <c r="O76" t="s">
        <v>42</v>
      </c>
      <c r="Q76">
        <v>2026</v>
      </c>
      <c r="R76" s="27">
        <v>113</v>
      </c>
      <c r="S76" t="s">
        <v>43</v>
      </c>
      <c r="U76"/>
      <c r="W76"/>
      <c r="Y76"/>
      <c r="AA76"/>
      <c r="AB76"/>
      <c r="AD76"/>
      <c r="AF76"/>
      <c r="AH76"/>
    </row>
    <row r="77" spans="2:35">
      <c r="B77" s="21" t="s">
        <v>1696</v>
      </c>
      <c r="C77" t="s">
        <v>172</v>
      </c>
      <c r="D77" t="s">
        <v>35</v>
      </c>
      <c r="E77">
        <v>4000</v>
      </c>
      <c r="F77" t="s">
        <v>36</v>
      </c>
      <c r="G77" t="s">
        <v>37</v>
      </c>
      <c r="H77" t="s">
        <v>38</v>
      </c>
      <c r="I77" t="s">
        <v>39</v>
      </c>
      <c r="J77"/>
      <c r="K77"/>
      <c r="L77" t="s">
        <v>170</v>
      </c>
      <c r="M77" t="s">
        <v>47</v>
      </c>
      <c r="N77">
        <v>1E-3</v>
      </c>
      <c r="O77" t="s">
        <v>42</v>
      </c>
      <c r="Q77">
        <v>2026</v>
      </c>
      <c r="R77" s="27">
        <v>113</v>
      </c>
      <c r="S77" t="s">
        <v>43</v>
      </c>
      <c r="U77"/>
      <c r="W77"/>
      <c r="Y77"/>
      <c r="AA77"/>
      <c r="AB77"/>
      <c r="AD77"/>
      <c r="AF77"/>
      <c r="AH77"/>
    </row>
    <row r="78" spans="2:35">
      <c r="B78" s="21" t="s">
        <v>1697</v>
      </c>
      <c r="C78" t="s">
        <v>169</v>
      </c>
      <c r="D78" t="s">
        <v>35</v>
      </c>
      <c r="E78">
        <v>4000</v>
      </c>
      <c r="F78" t="s">
        <v>36</v>
      </c>
      <c r="G78" t="s">
        <v>37</v>
      </c>
      <c r="H78" t="s">
        <v>38</v>
      </c>
      <c r="I78" t="s">
        <v>39</v>
      </c>
      <c r="J78"/>
      <c r="K78"/>
      <c r="L78" t="s">
        <v>170</v>
      </c>
      <c r="M78" t="s">
        <v>47</v>
      </c>
      <c r="N78">
        <v>1E-3</v>
      </c>
      <c r="O78" t="s">
        <v>42</v>
      </c>
      <c r="Q78">
        <v>2026</v>
      </c>
      <c r="R78" s="27">
        <v>113</v>
      </c>
      <c r="S78" t="s">
        <v>43</v>
      </c>
      <c r="U78"/>
      <c r="W78"/>
      <c r="Y78"/>
      <c r="AA78"/>
      <c r="AB78"/>
      <c r="AD78"/>
      <c r="AF78"/>
      <c r="AH78"/>
    </row>
    <row r="79" spans="2:35">
      <c r="B79" s="21" t="s">
        <v>1698</v>
      </c>
      <c r="C79" t="s">
        <v>169</v>
      </c>
      <c r="D79" t="s">
        <v>35</v>
      </c>
      <c r="E79">
        <v>1500</v>
      </c>
      <c r="F79" t="s">
        <v>36</v>
      </c>
      <c r="G79" t="s">
        <v>37</v>
      </c>
      <c r="H79" t="s">
        <v>38</v>
      </c>
      <c r="I79" t="s">
        <v>39</v>
      </c>
      <c r="J79"/>
      <c r="K79"/>
      <c r="L79" t="s">
        <v>170</v>
      </c>
      <c r="M79" t="s">
        <v>47</v>
      </c>
      <c r="N79">
        <v>1E-3</v>
      </c>
      <c r="O79" t="s">
        <v>42</v>
      </c>
      <c r="Q79">
        <v>2026</v>
      </c>
      <c r="R79" s="27">
        <v>113</v>
      </c>
      <c r="S79" t="s">
        <v>43</v>
      </c>
      <c r="U79"/>
      <c r="W79"/>
      <c r="Y79"/>
      <c r="AA79"/>
      <c r="AB79"/>
      <c r="AD79"/>
      <c r="AF79"/>
      <c r="AH79"/>
    </row>
    <row r="80" spans="2:35">
      <c r="B80" t="s">
        <v>173</v>
      </c>
      <c r="C80" t="s">
        <v>173</v>
      </c>
      <c r="D80" t="s">
        <v>35</v>
      </c>
      <c r="E80">
        <v>12000</v>
      </c>
      <c r="F80" t="s">
        <v>36</v>
      </c>
      <c r="G80" t="s">
        <v>37</v>
      </c>
      <c r="H80" t="s">
        <v>38</v>
      </c>
      <c r="I80" t="s">
        <v>39</v>
      </c>
      <c r="J80"/>
      <c r="K80"/>
      <c r="L80" t="s">
        <v>50</v>
      </c>
      <c r="M80" t="s">
        <v>47</v>
      </c>
      <c r="N80">
        <v>1E-3</v>
      </c>
      <c r="O80" t="s">
        <v>42</v>
      </c>
      <c r="Q80">
        <v>2026</v>
      </c>
      <c r="R80" s="27">
        <v>75</v>
      </c>
      <c r="S80" t="s">
        <v>43</v>
      </c>
      <c r="U80"/>
      <c r="W80"/>
      <c r="Y80"/>
      <c r="AA80"/>
      <c r="AB80"/>
      <c r="AD80"/>
      <c r="AF80"/>
      <c r="AH80"/>
    </row>
    <row r="81" spans="2:34">
      <c r="B81" s="21" t="s">
        <v>1700</v>
      </c>
      <c r="C81" t="s">
        <v>173</v>
      </c>
      <c r="D81" t="s">
        <v>35</v>
      </c>
      <c r="E81">
        <v>13800</v>
      </c>
      <c r="F81" t="s">
        <v>36</v>
      </c>
      <c r="G81" t="s">
        <v>37</v>
      </c>
      <c r="H81" t="s">
        <v>38</v>
      </c>
      <c r="I81" t="s">
        <v>39</v>
      </c>
      <c r="J81"/>
      <c r="K81"/>
      <c r="L81" t="s">
        <v>50</v>
      </c>
      <c r="M81" t="s">
        <v>47</v>
      </c>
      <c r="N81">
        <v>1E-3</v>
      </c>
      <c r="O81" t="s">
        <v>42</v>
      </c>
      <c r="Q81">
        <v>2026</v>
      </c>
      <c r="R81" s="27">
        <v>75</v>
      </c>
      <c r="S81" t="s">
        <v>43</v>
      </c>
      <c r="U81"/>
      <c r="W81"/>
      <c r="Y81"/>
      <c r="AA81"/>
      <c r="AB81"/>
      <c r="AD81"/>
      <c r="AF81"/>
      <c r="AH81"/>
    </row>
    <row r="82" spans="2:34">
      <c r="B82" s="21" t="s">
        <v>1699</v>
      </c>
      <c r="C82" t="s">
        <v>114</v>
      </c>
      <c r="D82" t="s">
        <v>35</v>
      </c>
      <c r="E82">
        <v>4000</v>
      </c>
      <c r="F82" t="s">
        <v>36</v>
      </c>
      <c r="G82" t="s">
        <v>37</v>
      </c>
      <c r="H82" t="s">
        <v>38</v>
      </c>
      <c r="I82" t="s">
        <v>39</v>
      </c>
      <c r="J82"/>
      <c r="K82"/>
      <c r="L82" t="s">
        <v>50</v>
      </c>
      <c r="M82" t="s">
        <v>47</v>
      </c>
      <c r="N82">
        <v>1E-3</v>
      </c>
      <c r="O82" t="s">
        <v>42</v>
      </c>
      <c r="Q82">
        <v>2026</v>
      </c>
      <c r="R82" s="27">
        <v>75</v>
      </c>
      <c r="S82" t="s">
        <v>43</v>
      </c>
      <c r="U82"/>
      <c r="W82"/>
      <c r="Y82"/>
      <c r="AA82"/>
      <c r="AB82"/>
      <c r="AD82"/>
      <c r="AF82"/>
      <c r="AH82"/>
    </row>
    <row r="83" spans="2:34">
      <c r="B83" t="s">
        <v>155</v>
      </c>
      <c r="C83" t="s">
        <v>174</v>
      </c>
      <c r="D83" t="s">
        <v>35</v>
      </c>
      <c r="E83">
        <v>8000</v>
      </c>
      <c r="F83" t="s">
        <v>36</v>
      </c>
      <c r="G83" t="s">
        <v>37</v>
      </c>
      <c r="H83" t="s">
        <v>38</v>
      </c>
      <c r="I83" t="s">
        <v>39</v>
      </c>
      <c r="J83"/>
      <c r="K83"/>
      <c r="L83" t="s">
        <v>50</v>
      </c>
      <c r="M83" t="s">
        <v>47</v>
      </c>
      <c r="N83">
        <v>1E-3</v>
      </c>
      <c r="O83" t="s">
        <v>42</v>
      </c>
      <c r="Q83">
        <v>2026</v>
      </c>
      <c r="R83" s="27">
        <v>75</v>
      </c>
      <c r="S83" t="s">
        <v>43</v>
      </c>
      <c r="U83"/>
      <c r="W83"/>
      <c r="Y83"/>
      <c r="AA83"/>
      <c r="AB83"/>
      <c r="AD83"/>
      <c r="AF83"/>
      <c r="AH83"/>
    </row>
    <row r="84" spans="2:34">
      <c r="B84" t="s">
        <v>175</v>
      </c>
      <c r="C84" t="s">
        <v>176</v>
      </c>
      <c r="D84" t="s">
        <v>35</v>
      </c>
      <c r="E84">
        <v>1500</v>
      </c>
      <c r="F84" t="s">
        <v>36</v>
      </c>
      <c r="G84" t="s">
        <v>37</v>
      </c>
      <c r="H84" t="s">
        <v>38</v>
      </c>
      <c r="I84" t="s">
        <v>39</v>
      </c>
      <c r="J84"/>
      <c r="K84"/>
      <c r="L84" t="s">
        <v>50</v>
      </c>
      <c r="M84" t="s">
        <v>47</v>
      </c>
      <c r="N84">
        <v>1E-3</v>
      </c>
      <c r="O84" t="s">
        <v>42</v>
      </c>
      <c r="Q84">
        <v>2026</v>
      </c>
      <c r="R84" s="27">
        <v>75</v>
      </c>
      <c r="S84" t="s">
        <v>43</v>
      </c>
      <c r="U84"/>
      <c r="W84"/>
      <c r="Y84"/>
      <c r="AA84"/>
      <c r="AB84"/>
      <c r="AD84"/>
      <c r="AF84"/>
      <c r="AH84"/>
    </row>
    <row r="85" spans="2:34">
      <c r="B85" s="21" t="s">
        <v>1702</v>
      </c>
      <c r="C85" t="s">
        <v>177</v>
      </c>
      <c r="D85" t="s">
        <v>35</v>
      </c>
      <c r="E85">
        <v>600</v>
      </c>
      <c r="F85" t="s">
        <v>36</v>
      </c>
      <c r="G85" t="s">
        <v>37</v>
      </c>
      <c r="H85" t="s">
        <v>38</v>
      </c>
      <c r="I85" t="s">
        <v>39</v>
      </c>
      <c r="J85"/>
      <c r="K85"/>
      <c r="L85" t="s">
        <v>50</v>
      </c>
      <c r="M85" t="s">
        <v>47</v>
      </c>
      <c r="N85">
        <v>1E-3</v>
      </c>
      <c r="O85" t="s">
        <v>42</v>
      </c>
      <c r="Q85">
        <v>2026</v>
      </c>
      <c r="R85" s="27">
        <v>75</v>
      </c>
      <c r="S85" t="s">
        <v>43</v>
      </c>
      <c r="U85"/>
      <c r="W85"/>
      <c r="Y85"/>
      <c r="AA85"/>
      <c r="AB85"/>
      <c r="AD85"/>
      <c r="AF85"/>
      <c r="AH85"/>
    </row>
    <row r="86" spans="2:34">
      <c r="B86" s="21" t="s">
        <v>1703</v>
      </c>
      <c r="C86" t="s">
        <v>178</v>
      </c>
      <c r="D86" t="s">
        <v>35</v>
      </c>
      <c r="E86">
        <v>1520</v>
      </c>
      <c r="F86" t="s">
        <v>53</v>
      </c>
      <c r="G86" t="s">
        <v>37</v>
      </c>
      <c r="H86" t="s">
        <v>38</v>
      </c>
      <c r="I86" t="s">
        <v>39</v>
      </c>
      <c r="J86"/>
      <c r="K86"/>
      <c r="L86" t="s">
        <v>50</v>
      </c>
      <c r="M86" t="s">
        <v>41</v>
      </c>
      <c r="N86">
        <v>1E-3</v>
      </c>
      <c r="O86" t="s">
        <v>42</v>
      </c>
      <c r="Q86">
        <v>2025</v>
      </c>
      <c r="R86" s="27">
        <v>75</v>
      </c>
      <c r="S86" t="s">
        <v>43</v>
      </c>
      <c r="U86"/>
      <c r="W86"/>
      <c r="Y86"/>
      <c r="AA86"/>
      <c r="AB86"/>
      <c r="AD86"/>
      <c r="AF86"/>
      <c r="AH86"/>
    </row>
    <row r="87" spans="2:34">
      <c r="B87" s="21" t="s">
        <v>1704</v>
      </c>
      <c r="C87" t="s">
        <v>180</v>
      </c>
      <c r="D87" t="s">
        <v>35</v>
      </c>
      <c r="E87">
        <v>1520</v>
      </c>
      <c r="F87" s="23" t="s">
        <v>53</v>
      </c>
      <c r="G87" t="s">
        <v>37</v>
      </c>
      <c r="H87" t="s">
        <v>38</v>
      </c>
      <c r="I87" t="s">
        <v>39</v>
      </c>
      <c r="J87"/>
      <c r="K87"/>
      <c r="L87" t="s">
        <v>50</v>
      </c>
      <c r="M87" t="s">
        <v>55</v>
      </c>
      <c r="N87">
        <v>1E-3</v>
      </c>
      <c r="O87" t="s">
        <v>42</v>
      </c>
      <c r="Q87">
        <v>2023</v>
      </c>
      <c r="R87" s="27">
        <v>75</v>
      </c>
      <c r="S87" t="s">
        <v>43</v>
      </c>
      <c r="U87"/>
      <c r="W87"/>
      <c r="Y87"/>
      <c r="AA87"/>
      <c r="AB87"/>
      <c r="AD87"/>
      <c r="AF87"/>
      <c r="AH87"/>
    </row>
    <row r="88" spans="2:34">
      <c r="B88" s="21" t="s">
        <v>1705</v>
      </c>
      <c r="C88" t="s">
        <v>182</v>
      </c>
      <c r="D88" t="s">
        <v>35</v>
      </c>
      <c r="E88">
        <v>2175</v>
      </c>
      <c r="F88" s="23" t="s">
        <v>53</v>
      </c>
      <c r="G88" t="s">
        <v>37</v>
      </c>
      <c r="H88" t="s">
        <v>38</v>
      </c>
      <c r="I88" t="s">
        <v>39</v>
      </c>
      <c r="J88"/>
      <c r="K88"/>
      <c r="L88" t="s">
        <v>50</v>
      </c>
      <c r="M88" t="s">
        <v>47</v>
      </c>
      <c r="N88">
        <v>1E-3</v>
      </c>
      <c r="O88" t="s">
        <v>42</v>
      </c>
      <c r="Q88">
        <v>2026</v>
      </c>
      <c r="R88" s="27">
        <v>75</v>
      </c>
      <c r="S88" t="s">
        <v>43</v>
      </c>
      <c r="U88"/>
      <c r="W88"/>
      <c r="Y88"/>
      <c r="AA88"/>
      <c r="AB88"/>
      <c r="AD88"/>
      <c r="AF88"/>
      <c r="AH88"/>
    </row>
    <row r="89" spans="2:34">
      <c r="B89" s="21" t="s">
        <v>1706</v>
      </c>
      <c r="C89" t="s">
        <v>184</v>
      </c>
      <c r="D89" t="s">
        <v>35</v>
      </c>
      <c r="E89">
        <v>2537.5</v>
      </c>
      <c r="F89" s="23" t="s">
        <v>53</v>
      </c>
      <c r="G89" t="s">
        <v>37</v>
      </c>
      <c r="H89" t="s">
        <v>38</v>
      </c>
      <c r="I89" t="s">
        <v>39</v>
      </c>
      <c r="J89"/>
      <c r="K89"/>
      <c r="L89" t="s">
        <v>50</v>
      </c>
      <c r="M89" t="s">
        <v>47</v>
      </c>
      <c r="N89">
        <v>1E-3</v>
      </c>
      <c r="O89" t="s">
        <v>42</v>
      </c>
      <c r="Q89">
        <v>2026</v>
      </c>
      <c r="R89" s="27">
        <v>75</v>
      </c>
      <c r="S89" t="s">
        <v>43</v>
      </c>
      <c r="U89"/>
      <c r="W89"/>
      <c r="Y89"/>
      <c r="AA89"/>
      <c r="AB89"/>
      <c r="AD89"/>
      <c r="AF89"/>
      <c r="AH89"/>
    </row>
    <row r="90" spans="2:34">
      <c r="B90" s="21" t="s">
        <v>1707</v>
      </c>
      <c r="C90" t="s">
        <v>185</v>
      </c>
      <c r="D90" t="s">
        <v>35</v>
      </c>
      <c r="E90">
        <v>1077.5</v>
      </c>
      <c r="F90" s="23" t="s">
        <v>53</v>
      </c>
      <c r="G90" t="s">
        <v>37</v>
      </c>
      <c r="H90" t="s">
        <v>38</v>
      </c>
      <c r="I90" t="s">
        <v>39</v>
      </c>
      <c r="J90"/>
      <c r="K90"/>
      <c r="L90" t="s">
        <v>50</v>
      </c>
      <c r="M90" t="s">
        <v>47</v>
      </c>
      <c r="N90">
        <v>1E-3</v>
      </c>
      <c r="O90" t="s">
        <v>42</v>
      </c>
      <c r="Q90">
        <v>2026</v>
      </c>
      <c r="R90" s="27">
        <v>75</v>
      </c>
      <c r="S90" t="s">
        <v>43</v>
      </c>
      <c r="U90"/>
      <c r="W90"/>
      <c r="Y90"/>
      <c r="AA90"/>
      <c r="AB90"/>
      <c r="AD90"/>
      <c r="AF90"/>
      <c r="AH90"/>
    </row>
    <row r="91" spans="2:34">
      <c r="B91" t="s">
        <v>186</v>
      </c>
      <c r="C91" t="s">
        <v>187</v>
      </c>
      <c r="D91" t="s">
        <v>35</v>
      </c>
      <c r="E91">
        <v>67.5</v>
      </c>
      <c r="F91" t="s">
        <v>36</v>
      </c>
      <c r="G91" t="s">
        <v>37</v>
      </c>
      <c r="H91" t="s">
        <v>38</v>
      </c>
      <c r="I91" t="s">
        <v>39</v>
      </c>
      <c r="J91"/>
      <c r="K91"/>
      <c r="L91" t="s">
        <v>112</v>
      </c>
      <c r="M91" t="s">
        <v>47</v>
      </c>
      <c r="N91">
        <v>1E-3</v>
      </c>
      <c r="O91" t="s">
        <v>42</v>
      </c>
      <c r="Q91">
        <v>2026</v>
      </c>
      <c r="R91" s="27">
        <v>250</v>
      </c>
      <c r="S91" t="s">
        <v>43</v>
      </c>
      <c r="U91"/>
      <c r="W91"/>
      <c r="Y91"/>
      <c r="AA91"/>
      <c r="AB91"/>
      <c r="AD91"/>
      <c r="AF91"/>
      <c r="AH91"/>
    </row>
    <row r="92" spans="2:34">
      <c r="B92" t="s">
        <v>188</v>
      </c>
      <c r="C92" t="s">
        <v>188</v>
      </c>
      <c r="D92" t="s">
        <v>35</v>
      </c>
      <c r="E92">
        <v>35000</v>
      </c>
      <c r="F92" t="s">
        <v>36</v>
      </c>
      <c r="G92" t="s">
        <v>37</v>
      </c>
      <c r="H92" t="s">
        <v>38</v>
      </c>
      <c r="I92" t="s">
        <v>39</v>
      </c>
      <c r="J92"/>
      <c r="K92"/>
      <c r="L92" s="21" t="s">
        <v>1677</v>
      </c>
      <c r="M92" s="21" t="s">
        <v>1675</v>
      </c>
      <c r="N92">
        <v>1E-3</v>
      </c>
      <c r="O92" t="s">
        <v>42</v>
      </c>
      <c r="Q92">
        <v>2022</v>
      </c>
      <c r="R92" s="27">
        <v>67</v>
      </c>
      <c r="S92" t="s">
        <v>43</v>
      </c>
      <c r="U92"/>
      <c r="W92"/>
      <c r="Y92"/>
      <c r="AA92"/>
      <c r="AB92"/>
      <c r="AD92"/>
      <c r="AF92"/>
      <c r="AH92"/>
    </row>
    <row r="93" spans="2:34">
      <c r="B93" t="s">
        <v>190</v>
      </c>
      <c r="C93" t="s">
        <v>190</v>
      </c>
      <c r="D93" t="s">
        <v>35</v>
      </c>
      <c r="E93">
        <v>240</v>
      </c>
      <c r="F93" t="s">
        <v>36</v>
      </c>
      <c r="G93" t="s">
        <v>37</v>
      </c>
      <c r="H93" t="s">
        <v>38</v>
      </c>
      <c r="I93" t="s">
        <v>39</v>
      </c>
      <c r="J93"/>
      <c r="K93"/>
      <c r="L93" s="21" t="s">
        <v>1701</v>
      </c>
      <c r="M93" s="21" t="s">
        <v>1675</v>
      </c>
      <c r="N93">
        <v>1E-3</v>
      </c>
      <c r="O93" t="s">
        <v>42</v>
      </c>
      <c r="Q93"/>
      <c r="R93" s="27">
        <v>67</v>
      </c>
      <c r="S93" t="s">
        <v>43</v>
      </c>
      <c r="U93"/>
      <c r="W93"/>
      <c r="Y93"/>
      <c r="AA93"/>
      <c r="AB93"/>
      <c r="AD93"/>
      <c r="AF93"/>
      <c r="AH93"/>
    </row>
    <row r="94" spans="2:34">
      <c r="B94" s="21" t="s">
        <v>1708</v>
      </c>
      <c r="C94" s="21" t="s">
        <v>1720</v>
      </c>
      <c r="D94" t="s">
        <v>35</v>
      </c>
      <c r="E94">
        <v>3500</v>
      </c>
      <c r="F94" t="s">
        <v>36</v>
      </c>
      <c r="G94" t="s">
        <v>37</v>
      </c>
      <c r="H94" t="s">
        <v>38</v>
      </c>
      <c r="I94" t="s">
        <v>39</v>
      </c>
      <c r="J94"/>
      <c r="K94"/>
      <c r="L94" t="s">
        <v>1721</v>
      </c>
      <c r="M94" t="s">
        <v>47</v>
      </c>
      <c r="N94">
        <v>1E-3</v>
      </c>
      <c r="O94" t="s">
        <v>42</v>
      </c>
      <c r="Q94">
        <v>2023</v>
      </c>
      <c r="R94" s="27">
        <v>21</v>
      </c>
      <c r="S94" t="s">
        <v>43</v>
      </c>
      <c r="U94"/>
      <c r="W94"/>
      <c r="Y94"/>
      <c r="AA94"/>
      <c r="AB94"/>
      <c r="AD94"/>
      <c r="AF94"/>
      <c r="AH94"/>
    </row>
    <row r="95" spans="2:34">
      <c r="B95" s="21" t="s">
        <v>1709</v>
      </c>
      <c r="C95" t="s">
        <v>195</v>
      </c>
      <c r="D95" t="s">
        <v>35</v>
      </c>
      <c r="E95">
        <v>1400</v>
      </c>
      <c r="F95" t="s">
        <v>36</v>
      </c>
      <c r="G95" t="s">
        <v>37</v>
      </c>
      <c r="H95" t="s">
        <v>38</v>
      </c>
      <c r="I95" t="s">
        <v>39</v>
      </c>
      <c r="J95"/>
      <c r="K95"/>
      <c r="L95" t="s">
        <v>1721</v>
      </c>
      <c r="M95" t="s">
        <v>47</v>
      </c>
      <c r="N95">
        <v>1E-3</v>
      </c>
      <c r="O95" t="s">
        <v>42</v>
      </c>
      <c r="Q95"/>
      <c r="R95" s="27">
        <v>21</v>
      </c>
      <c r="S95" t="s">
        <v>43</v>
      </c>
      <c r="U95"/>
      <c r="W95"/>
      <c r="Y95"/>
      <c r="AA95"/>
      <c r="AB95"/>
      <c r="AD95"/>
      <c r="AF95"/>
      <c r="AH95"/>
    </row>
    <row r="96" spans="2:34">
      <c r="B96" s="21" t="s">
        <v>1710</v>
      </c>
      <c r="C96" t="s">
        <v>198</v>
      </c>
      <c r="D96" t="s">
        <v>35</v>
      </c>
      <c r="E96">
        <v>700</v>
      </c>
      <c r="F96" t="s">
        <v>36</v>
      </c>
      <c r="G96" t="s">
        <v>37</v>
      </c>
      <c r="H96" t="s">
        <v>38</v>
      </c>
      <c r="I96" t="s">
        <v>39</v>
      </c>
      <c r="J96"/>
      <c r="K96"/>
      <c r="L96" t="s">
        <v>1721</v>
      </c>
      <c r="M96" t="s">
        <v>47</v>
      </c>
      <c r="N96">
        <v>1E-3</v>
      </c>
      <c r="O96" t="s">
        <v>42</v>
      </c>
      <c r="Q96"/>
      <c r="R96" s="27">
        <v>21</v>
      </c>
      <c r="S96" t="s">
        <v>43</v>
      </c>
      <c r="U96"/>
      <c r="W96"/>
      <c r="Y96"/>
      <c r="AA96"/>
      <c r="AB96"/>
      <c r="AD96"/>
      <c r="AF96"/>
      <c r="AH96"/>
    </row>
    <row r="97" spans="2:34">
      <c r="B97" s="21" t="s">
        <v>1711</v>
      </c>
      <c r="C97" t="s">
        <v>192</v>
      </c>
      <c r="D97" t="s">
        <v>35</v>
      </c>
      <c r="E97">
        <v>700</v>
      </c>
      <c r="F97" t="s">
        <v>36</v>
      </c>
      <c r="G97" t="s">
        <v>37</v>
      </c>
      <c r="H97" t="s">
        <v>38</v>
      </c>
      <c r="I97" t="s">
        <v>39</v>
      </c>
      <c r="J97"/>
      <c r="K97"/>
      <c r="L97" t="s">
        <v>1721</v>
      </c>
      <c r="M97" t="s">
        <v>47</v>
      </c>
      <c r="N97">
        <v>1E-3</v>
      </c>
      <c r="O97" t="s">
        <v>42</v>
      </c>
      <c r="Q97">
        <v>2023</v>
      </c>
      <c r="R97" s="27">
        <v>21</v>
      </c>
      <c r="S97" t="s">
        <v>43</v>
      </c>
      <c r="U97"/>
      <c r="W97"/>
      <c r="Y97"/>
      <c r="AA97"/>
      <c r="AB97"/>
      <c r="AD97"/>
      <c r="AF97"/>
      <c r="AH97"/>
    </row>
    <row r="98" spans="2:34">
      <c r="B98" s="21" t="s">
        <v>1712</v>
      </c>
      <c r="C98" t="s">
        <v>200</v>
      </c>
      <c r="D98" t="s">
        <v>35</v>
      </c>
      <c r="E98">
        <v>700</v>
      </c>
      <c r="F98" t="s">
        <v>36</v>
      </c>
      <c r="G98" t="s">
        <v>37</v>
      </c>
      <c r="H98" t="s">
        <v>38</v>
      </c>
      <c r="I98" t="s">
        <v>39</v>
      </c>
      <c r="J98"/>
      <c r="K98"/>
      <c r="L98" t="s">
        <v>1721</v>
      </c>
      <c r="M98" t="s">
        <v>47</v>
      </c>
      <c r="N98">
        <v>1E-3</v>
      </c>
      <c r="O98" t="s">
        <v>42</v>
      </c>
      <c r="Q98">
        <v>2025</v>
      </c>
      <c r="R98" s="27">
        <v>21</v>
      </c>
      <c r="S98" t="s">
        <v>43</v>
      </c>
      <c r="U98"/>
      <c r="W98"/>
      <c r="Y98"/>
      <c r="AA98"/>
      <c r="AB98"/>
      <c r="AD98"/>
      <c r="AF98"/>
      <c r="AH98"/>
    </row>
    <row r="99" spans="2:34">
      <c r="B99" s="21" t="s">
        <v>1713</v>
      </c>
      <c r="C99" t="s">
        <v>202</v>
      </c>
      <c r="D99" t="s">
        <v>35</v>
      </c>
      <c r="E99">
        <v>1050</v>
      </c>
      <c r="F99" t="s">
        <v>36</v>
      </c>
      <c r="G99" t="s">
        <v>37</v>
      </c>
      <c r="H99" t="s">
        <v>38</v>
      </c>
      <c r="I99" t="s">
        <v>39</v>
      </c>
      <c r="J99"/>
      <c r="K99"/>
      <c r="L99" t="s">
        <v>1721</v>
      </c>
      <c r="M99" t="s">
        <v>47</v>
      </c>
      <c r="N99">
        <v>1E-3</v>
      </c>
      <c r="O99" t="s">
        <v>42</v>
      </c>
      <c r="Q99">
        <v>2023</v>
      </c>
      <c r="R99" s="27">
        <v>21</v>
      </c>
      <c r="S99" t="s">
        <v>43</v>
      </c>
      <c r="U99"/>
      <c r="W99"/>
      <c r="Y99"/>
      <c r="AA99"/>
      <c r="AB99"/>
      <c r="AD99"/>
      <c r="AF99"/>
      <c r="AH99"/>
    </row>
    <row r="100" spans="2:34">
      <c r="B100" s="21" t="s">
        <v>1714</v>
      </c>
      <c r="C100" t="s">
        <v>204</v>
      </c>
      <c r="D100" t="s">
        <v>35</v>
      </c>
      <c r="E100">
        <v>700</v>
      </c>
      <c r="F100" t="s">
        <v>36</v>
      </c>
      <c r="G100" t="s">
        <v>37</v>
      </c>
      <c r="H100" t="s">
        <v>38</v>
      </c>
      <c r="I100" t="s">
        <v>39</v>
      </c>
      <c r="J100"/>
      <c r="K100"/>
      <c r="L100" t="s">
        <v>1721</v>
      </c>
      <c r="M100" t="s">
        <v>47</v>
      </c>
      <c r="N100">
        <v>1E-3</v>
      </c>
      <c r="O100" t="s">
        <v>42</v>
      </c>
      <c r="Q100">
        <v>2025</v>
      </c>
      <c r="R100" s="27">
        <v>21</v>
      </c>
      <c r="S100" t="s">
        <v>43</v>
      </c>
      <c r="U100"/>
      <c r="W100"/>
      <c r="Y100"/>
      <c r="AA100"/>
      <c r="AB100"/>
      <c r="AD100"/>
      <c r="AF100"/>
      <c r="AH100"/>
    </row>
    <row r="101" spans="2:34">
      <c r="B101" s="21" t="s">
        <v>1722</v>
      </c>
      <c r="C101" t="s">
        <v>206</v>
      </c>
      <c r="D101" t="s">
        <v>35</v>
      </c>
      <c r="E101">
        <v>700</v>
      </c>
      <c r="F101" t="s">
        <v>36</v>
      </c>
      <c r="G101" t="s">
        <v>37</v>
      </c>
      <c r="H101" t="s">
        <v>38</v>
      </c>
      <c r="I101" t="s">
        <v>39</v>
      </c>
      <c r="J101"/>
      <c r="K101"/>
      <c r="L101" t="s">
        <v>1721</v>
      </c>
      <c r="M101" s="23" t="s">
        <v>47</v>
      </c>
      <c r="N101">
        <v>1E-3</v>
      </c>
      <c r="O101" t="s">
        <v>42</v>
      </c>
      <c r="Q101"/>
      <c r="R101" s="27">
        <v>21</v>
      </c>
      <c r="S101" t="s">
        <v>43</v>
      </c>
      <c r="U101"/>
      <c r="W101"/>
      <c r="Y101"/>
      <c r="AA101"/>
      <c r="AB101"/>
      <c r="AD101"/>
      <c r="AF101"/>
      <c r="AH101"/>
    </row>
    <row r="102" spans="2:34">
      <c r="B102" s="21" t="s">
        <v>1725</v>
      </c>
      <c r="C102" t="s">
        <v>208</v>
      </c>
      <c r="D102" t="s">
        <v>35</v>
      </c>
      <c r="E102">
        <v>382.5</v>
      </c>
      <c r="F102" t="s">
        <v>36</v>
      </c>
      <c r="G102" t="s">
        <v>37</v>
      </c>
      <c r="H102" t="s">
        <v>38</v>
      </c>
      <c r="I102" t="s">
        <v>39</v>
      </c>
      <c r="J102"/>
      <c r="K102"/>
      <c r="L102" t="s">
        <v>1721</v>
      </c>
      <c r="M102" s="23" t="s">
        <v>47</v>
      </c>
      <c r="N102">
        <v>1E-3</v>
      </c>
      <c r="O102" t="s">
        <v>42</v>
      </c>
      <c r="Q102">
        <v>2023</v>
      </c>
      <c r="R102" s="27">
        <v>21</v>
      </c>
      <c r="S102" t="s">
        <v>43</v>
      </c>
      <c r="U102"/>
      <c r="W102"/>
      <c r="Y102"/>
      <c r="AA102"/>
      <c r="AB102"/>
      <c r="AD102"/>
      <c r="AF102"/>
      <c r="AH102"/>
    </row>
    <row r="103" spans="2:34">
      <c r="B103" s="21" t="s">
        <v>1715</v>
      </c>
      <c r="C103" t="s">
        <v>210</v>
      </c>
      <c r="D103" t="s">
        <v>35</v>
      </c>
      <c r="E103">
        <v>382.5</v>
      </c>
      <c r="F103" t="s">
        <v>36</v>
      </c>
      <c r="G103" t="s">
        <v>37</v>
      </c>
      <c r="H103" t="s">
        <v>38</v>
      </c>
      <c r="I103" t="s">
        <v>39</v>
      </c>
      <c r="J103"/>
      <c r="K103"/>
      <c r="L103" t="s">
        <v>1721</v>
      </c>
      <c r="M103" t="s">
        <v>47</v>
      </c>
      <c r="N103">
        <v>1E-3</v>
      </c>
      <c r="O103" t="s">
        <v>42</v>
      </c>
      <c r="Q103">
        <v>2026</v>
      </c>
      <c r="R103" s="27">
        <v>21</v>
      </c>
      <c r="S103" t="s">
        <v>43</v>
      </c>
      <c r="U103"/>
      <c r="W103"/>
      <c r="Y103"/>
      <c r="AA103"/>
      <c r="AB103"/>
      <c r="AD103"/>
      <c r="AF103"/>
      <c r="AH103"/>
    </row>
    <row r="104" spans="2:34">
      <c r="B104" s="21" t="s">
        <v>1716</v>
      </c>
      <c r="C104" t="s">
        <v>212</v>
      </c>
      <c r="D104" t="s">
        <v>35</v>
      </c>
      <c r="E104">
        <v>382.5</v>
      </c>
      <c r="F104" t="s">
        <v>36</v>
      </c>
      <c r="G104" t="s">
        <v>37</v>
      </c>
      <c r="H104" t="s">
        <v>38</v>
      </c>
      <c r="I104" t="s">
        <v>39</v>
      </c>
      <c r="J104"/>
      <c r="K104"/>
      <c r="L104" t="s">
        <v>1721</v>
      </c>
      <c r="M104" s="23" t="s">
        <v>47</v>
      </c>
      <c r="N104">
        <v>1E-3</v>
      </c>
      <c r="O104" t="s">
        <v>42</v>
      </c>
      <c r="Q104">
        <v>2025</v>
      </c>
      <c r="R104" s="27">
        <v>21</v>
      </c>
      <c r="S104" t="s">
        <v>43</v>
      </c>
      <c r="U104"/>
      <c r="W104"/>
      <c r="Y104"/>
      <c r="AA104"/>
      <c r="AB104"/>
      <c r="AD104"/>
      <c r="AF104"/>
      <c r="AH104"/>
    </row>
    <row r="105" spans="2:34">
      <c r="B105" s="21" t="s">
        <v>1717</v>
      </c>
      <c r="C105" t="s">
        <v>192</v>
      </c>
      <c r="D105" t="s">
        <v>35</v>
      </c>
      <c r="E105">
        <v>382.5</v>
      </c>
      <c r="F105" t="s">
        <v>36</v>
      </c>
      <c r="G105" t="s">
        <v>37</v>
      </c>
      <c r="H105" t="s">
        <v>38</v>
      </c>
      <c r="I105" t="s">
        <v>39</v>
      </c>
      <c r="J105"/>
      <c r="K105"/>
      <c r="L105" t="s">
        <v>1721</v>
      </c>
      <c r="M105" s="23" t="s">
        <v>47</v>
      </c>
      <c r="N105">
        <v>1E-3</v>
      </c>
      <c r="O105" t="s">
        <v>42</v>
      </c>
      <c r="Q105">
        <v>2023</v>
      </c>
      <c r="R105" s="27">
        <v>21</v>
      </c>
      <c r="S105" t="s">
        <v>43</v>
      </c>
      <c r="U105"/>
      <c r="W105"/>
      <c r="Y105"/>
      <c r="AA105"/>
      <c r="AB105"/>
      <c r="AD105"/>
      <c r="AF105"/>
      <c r="AH105"/>
    </row>
    <row r="106" spans="2:34">
      <c r="B106" s="21" t="s">
        <v>1718</v>
      </c>
      <c r="C106" t="s">
        <v>214</v>
      </c>
      <c r="D106" t="s">
        <v>35</v>
      </c>
      <c r="E106">
        <v>292.5</v>
      </c>
      <c r="F106" t="s">
        <v>36</v>
      </c>
      <c r="G106" t="s">
        <v>37</v>
      </c>
      <c r="H106" t="s">
        <v>38</v>
      </c>
      <c r="I106" t="s">
        <v>39</v>
      </c>
      <c r="J106"/>
      <c r="K106"/>
      <c r="L106" t="s">
        <v>1721</v>
      </c>
      <c r="M106" s="23" t="s">
        <v>47</v>
      </c>
      <c r="N106">
        <v>1E-3</v>
      </c>
      <c r="O106" t="s">
        <v>42</v>
      </c>
      <c r="Q106">
        <v>2025</v>
      </c>
      <c r="R106" s="27">
        <v>21</v>
      </c>
      <c r="S106" t="s">
        <v>43</v>
      </c>
      <c r="U106"/>
      <c r="W106"/>
      <c r="Y106"/>
      <c r="AA106"/>
      <c r="AB106"/>
      <c r="AD106"/>
      <c r="AF106"/>
      <c r="AH106"/>
    </row>
    <row r="107" spans="2:34">
      <c r="B107" s="21" t="s">
        <v>1719</v>
      </c>
      <c r="C107" t="s">
        <v>216</v>
      </c>
      <c r="D107" t="s">
        <v>35</v>
      </c>
      <c r="E107">
        <v>292.5</v>
      </c>
      <c r="F107" t="s">
        <v>36</v>
      </c>
      <c r="G107" t="s">
        <v>37</v>
      </c>
      <c r="H107" t="s">
        <v>38</v>
      </c>
      <c r="I107" t="s">
        <v>39</v>
      </c>
      <c r="J107"/>
      <c r="K107"/>
      <c r="L107" t="s">
        <v>1721</v>
      </c>
      <c r="M107" s="23" t="s">
        <v>47</v>
      </c>
      <c r="N107">
        <v>1E-3</v>
      </c>
      <c r="O107" t="s">
        <v>42</v>
      </c>
      <c r="Q107">
        <v>2025</v>
      </c>
      <c r="R107" s="27">
        <v>21</v>
      </c>
      <c r="S107" t="s">
        <v>43</v>
      </c>
      <c r="U107"/>
      <c r="W107"/>
      <c r="Y107"/>
      <c r="AA107"/>
      <c r="AB107"/>
      <c r="AD107"/>
      <c r="AF107"/>
      <c r="AH107"/>
    </row>
    <row r="108" spans="2:34">
      <c r="B108" t="s">
        <v>217</v>
      </c>
      <c r="C108" t="s">
        <v>218</v>
      </c>
      <c r="D108" t="s">
        <v>35</v>
      </c>
      <c r="E108">
        <v>2845</v>
      </c>
      <c r="F108" t="s">
        <v>36</v>
      </c>
      <c r="G108" t="s">
        <v>37</v>
      </c>
      <c r="H108" t="s">
        <v>38</v>
      </c>
      <c r="I108" t="s">
        <v>39</v>
      </c>
      <c r="J108"/>
      <c r="K108"/>
      <c r="L108" t="s">
        <v>72</v>
      </c>
      <c r="M108" t="s">
        <v>47</v>
      </c>
      <c r="N108">
        <v>1E-3</v>
      </c>
      <c r="O108" t="s">
        <v>42</v>
      </c>
      <c r="Q108">
        <v>2026</v>
      </c>
      <c r="R108" s="27">
        <v>67</v>
      </c>
      <c r="S108" t="s">
        <v>43</v>
      </c>
      <c r="U108"/>
      <c r="W108"/>
      <c r="Y108"/>
      <c r="AA108"/>
      <c r="AB108"/>
      <c r="AD108"/>
      <c r="AF108"/>
      <c r="AH108"/>
    </row>
    <row r="109" spans="2:34">
      <c r="B109" t="s">
        <v>217</v>
      </c>
      <c r="C109" t="s">
        <v>219</v>
      </c>
      <c r="D109" t="s">
        <v>35</v>
      </c>
      <c r="E109">
        <v>130.65</v>
      </c>
      <c r="F109" t="s">
        <v>53</v>
      </c>
      <c r="G109" t="s">
        <v>37</v>
      </c>
      <c r="H109" t="s">
        <v>38</v>
      </c>
      <c r="I109" t="s">
        <v>39</v>
      </c>
      <c r="J109"/>
      <c r="K109"/>
      <c r="L109" t="s">
        <v>220</v>
      </c>
      <c r="M109" t="s">
        <v>41</v>
      </c>
      <c r="N109">
        <v>1E-3</v>
      </c>
      <c r="O109" t="s">
        <v>42</v>
      </c>
      <c r="Q109">
        <v>2026</v>
      </c>
      <c r="R109" s="27">
        <v>67</v>
      </c>
      <c r="S109" t="s">
        <v>43</v>
      </c>
      <c r="U109"/>
      <c r="W109"/>
      <c r="Y109"/>
      <c r="AA109"/>
      <c r="AB109"/>
      <c r="AD109"/>
      <c r="AF109"/>
      <c r="AH109"/>
    </row>
    <row r="110" spans="2:34">
      <c r="B110" t="s">
        <v>221</v>
      </c>
      <c r="C110" t="s">
        <v>222</v>
      </c>
      <c r="D110" t="s">
        <v>35</v>
      </c>
      <c r="E110">
        <v>3139.27</v>
      </c>
      <c r="F110" t="s">
        <v>36</v>
      </c>
      <c r="G110" t="s">
        <v>37</v>
      </c>
      <c r="H110" t="s">
        <v>38</v>
      </c>
      <c r="I110" t="s">
        <v>39</v>
      </c>
      <c r="J110"/>
      <c r="K110"/>
      <c r="L110" t="s">
        <v>72</v>
      </c>
      <c r="M110" t="s">
        <v>47</v>
      </c>
      <c r="N110">
        <v>1E-3</v>
      </c>
      <c r="O110" t="s">
        <v>42</v>
      </c>
      <c r="Q110">
        <v>2026</v>
      </c>
      <c r="R110" s="27">
        <v>67</v>
      </c>
      <c r="S110" t="s">
        <v>43</v>
      </c>
      <c r="U110"/>
      <c r="W110"/>
      <c r="Y110"/>
      <c r="AA110"/>
      <c r="AB110"/>
      <c r="AD110"/>
      <c r="AF110"/>
      <c r="AH110"/>
    </row>
    <row r="111" spans="2:34">
      <c r="B111" t="s">
        <v>217</v>
      </c>
      <c r="C111" t="s">
        <v>218</v>
      </c>
      <c r="D111" t="s">
        <v>35</v>
      </c>
      <c r="E111">
        <v>1050</v>
      </c>
      <c r="F111" t="s">
        <v>36</v>
      </c>
      <c r="G111" t="s">
        <v>37</v>
      </c>
      <c r="H111" t="s">
        <v>38</v>
      </c>
      <c r="I111" t="s">
        <v>39</v>
      </c>
      <c r="J111"/>
      <c r="K111"/>
      <c r="L111" t="s">
        <v>72</v>
      </c>
      <c r="M111" t="s">
        <v>47</v>
      </c>
      <c r="N111">
        <v>1E-3</v>
      </c>
      <c r="O111" t="s">
        <v>42</v>
      </c>
      <c r="Q111">
        <v>2026</v>
      </c>
      <c r="R111" s="27">
        <v>67</v>
      </c>
      <c r="S111" t="s">
        <v>43</v>
      </c>
      <c r="U111"/>
      <c r="W111"/>
      <c r="Y111"/>
      <c r="AA111"/>
      <c r="AB111"/>
      <c r="AD111"/>
      <c r="AF111"/>
      <c r="AH111"/>
    </row>
    <row r="112" spans="2:34">
      <c r="B112" t="s">
        <v>217</v>
      </c>
      <c r="C112" t="s">
        <v>218</v>
      </c>
      <c r="D112" t="s">
        <v>35</v>
      </c>
      <c r="E112">
        <v>4905.21</v>
      </c>
      <c r="F112" t="s">
        <v>36</v>
      </c>
      <c r="G112" t="s">
        <v>37</v>
      </c>
      <c r="H112" t="s">
        <v>38</v>
      </c>
      <c r="I112" t="s">
        <v>39</v>
      </c>
      <c r="J112"/>
      <c r="K112"/>
      <c r="L112" t="s">
        <v>72</v>
      </c>
      <c r="M112" t="s">
        <v>47</v>
      </c>
      <c r="N112">
        <v>1E-3</v>
      </c>
      <c r="O112" t="s">
        <v>42</v>
      </c>
      <c r="Q112">
        <v>2026</v>
      </c>
      <c r="R112" s="27">
        <v>67</v>
      </c>
      <c r="S112" t="s">
        <v>43</v>
      </c>
      <c r="U112"/>
      <c r="W112"/>
      <c r="Y112"/>
      <c r="AA112"/>
      <c r="AB112"/>
      <c r="AD112"/>
      <c r="AF112"/>
      <c r="AH112"/>
    </row>
    <row r="113" spans="2:35">
      <c r="B113" t="s">
        <v>223</v>
      </c>
      <c r="C113" t="s">
        <v>224</v>
      </c>
      <c r="D113" t="s">
        <v>89</v>
      </c>
      <c r="E113">
        <v>8970</v>
      </c>
      <c r="F113" s="21" t="s">
        <v>1667</v>
      </c>
      <c r="G113" t="s">
        <v>37</v>
      </c>
      <c r="H113" t="s">
        <v>38</v>
      </c>
      <c r="I113" t="s">
        <v>39</v>
      </c>
      <c r="J113"/>
      <c r="K113"/>
      <c r="L113" t="s">
        <v>225</v>
      </c>
      <c r="M113" t="s">
        <v>91</v>
      </c>
      <c r="N113">
        <v>1</v>
      </c>
      <c r="O113" t="s">
        <v>42</v>
      </c>
      <c r="Q113"/>
      <c r="R113" s="27">
        <v>0.15</v>
      </c>
      <c r="S113" t="s">
        <v>43</v>
      </c>
      <c r="T113"/>
      <c r="U113"/>
      <c r="V113"/>
      <c r="W113"/>
      <c r="X113"/>
      <c r="Y113"/>
      <c r="Z113"/>
      <c r="AA113"/>
      <c r="AB113"/>
      <c r="AC113"/>
      <c r="AD113"/>
      <c r="AE113"/>
      <c r="AF113"/>
      <c r="AG113"/>
      <c r="AH113"/>
      <c r="AI113">
        <v>0</v>
      </c>
    </row>
    <row r="114" spans="2:35">
      <c r="B114" t="s">
        <v>227</v>
      </c>
      <c r="C114" t="s">
        <v>228</v>
      </c>
      <c r="D114" t="s">
        <v>89</v>
      </c>
      <c r="E114">
        <v>8970</v>
      </c>
      <c r="F114" s="21" t="s">
        <v>1667</v>
      </c>
      <c r="G114" t="s">
        <v>37</v>
      </c>
      <c r="H114" t="s">
        <v>38</v>
      </c>
      <c r="I114" t="s">
        <v>39</v>
      </c>
      <c r="J114"/>
      <c r="K114"/>
      <c r="L114" t="s">
        <v>225</v>
      </c>
      <c r="M114" t="s">
        <v>91</v>
      </c>
      <c r="N114">
        <v>1</v>
      </c>
      <c r="O114" t="s">
        <v>42</v>
      </c>
      <c r="Q114"/>
      <c r="R114" s="27">
        <v>0.15</v>
      </c>
      <c r="S114" t="s">
        <v>43</v>
      </c>
      <c r="T114"/>
      <c r="U114"/>
      <c r="V114"/>
      <c r="W114"/>
      <c r="X114"/>
      <c r="Y114"/>
      <c r="Z114"/>
      <c r="AA114"/>
      <c r="AB114"/>
      <c r="AD114"/>
      <c r="AF114"/>
      <c r="AH114"/>
    </row>
    <row r="115" spans="2:35">
      <c r="B115" t="s">
        <v>229</v>
      </c>
      <c r="C115" t="s">
        <v>230</v>
      </c>
      <c r="D115" t="s">
        <v>35</v>
      </c>
      <c r="E115">
        <v>3500</v>
      </c>
      <c r="F115" t="s">
        <v>231</v>
      </c>
      <c r="G115" t="s">
        <v>37</v>
      </c>
      <c r="H115" t="s">
        <v>38</v>
      </c>
      <c r="I115" t="s">
        <v>39</v>
      </c>
      <c r="J115"/>
      <c r="K115"/>
      <c r="L115" s="24" t="s">
        <v>170</v>
      </c>
      <c r="M115" t="s">
        <v>47</v>
      </c>
      <c r="N115">
        <v>1E-3</v>
      </c>
      <c r="O115" t="s">
        <v>42</v>
      </c>
      <c r="Q115"/>
      <c r="R115" s="27">
        <v>113</v>
      </c>
      <c r="S115" t="s">
        <v>43</v>
      </c>
      <c r="U115"/>
      <c r="W115"/>
      <c r="Y115"/>
      <c r="AA115"/>
      <c r="AB115"/>
      <c r="AD115"/>
      <c r="AF115"/>
      <c r="AH115"/>
    </row>
    <row r="116" spans="2:35">
      <c r="B116" t="s">
        <v>232</v>
      </c>
      <c r="C116" t="s">
        <v>233</v>
      </c>
      <c r="D116" t="s">
        <v>35</v>
      </c>
      <c r="E116">
        <v>46.73</v>
      </c>
      <c r="F116" t="s">
        <v>36</v>
      </c>
      <c r="G116" t="s">
        <v>37</v>
      </c>
      <c r="H116" t="s">
        <v>38</v>
      </c>
      <c r="I116" t="s">
        <v>39</v>
      </c>
      <c r="J116"/>
      <c r="K116"/>
      <c r="L116" s="21" t="s">
        <v>1726</v>
      </c>
      <c r="M116" t="s">
        <v>47</v>
      </c>
      <c r="N116">
        <v>1E-3</v>
      </c>
      <c r="O116" t="s">
        <v>42</v>
      </c>
      <c r="Q116">
        <v>2026</v>
      </c>
      <c r="R116" s="27">
        <v>136</v>
      </c>
      <c r="S116" t="s">
        <v>43</v>
      </c>
      <c r="U116"/>
      <c r="W116"/>
      <c r="Y116"/>
      <c r="AA116"/>
      <c r="AB116"/>
      <c r="AD116"/>
      <c r="AF116"/>
      <c r="AH116"/>
    </row>
    <row r="117" spans="2:35">
      <c r="B117" t="s">
        <v>235</v>
      </c>
      <c r="C117" t="s">
        <v>236</v>
      </c>
      <c r="D117" t="s">
        <v>35</v>
      </c>
      <c r="E117">
        <v>42.22</v>
      </c>
      <c r="F117" t="s">
        <v>36</v>
      </c>
      <c r="G117" t="s">
        <v>37</v>
      </c>
      <c r="H117" t="s">
        <v>38</v>
      </c>
      <c r="I117" t="s">
        <v>39</v>
      </c>
      <c r="J117"/>
      <c r="K117"/>
      <c r="L117" t="s">
        <v>237</v>
      </c>
      <c r="M117" t="s">
        <v>47</v>
      </c>
      <c r="N117">
        <v>1E-3</v>
      </c>
      <c r="O117" t="s">
        <v>42</v>
      </c>
      <c r="Q117">
        <v>2022</v>
      </c>
      <c r="R117" s="27">
        <v>136</v>
      </c>
      <c r="S117" t="s">
        <v>43</v>
      </c>
      <c r="U117"/>
      <c r="W117"/>
      <c r="Y117"/>
      <c r="AA117"/>
      <c r="AB117"/>
      <c r="AD117"/>
      <c r="AF117"/>
      <c r="AH117"/>
    </row>
    <row r="118" spans="2:35">
      <c r="B118" t="s">
        <v>238</v>
      </c>
      <c r="C118" t="s">
        <v>239</v>
      </c>
      <c r="D118" t="s">
        <v>35</v>
      </c>
      <c r="E118">
        <v>42.22</v>
      </c>
      <c r="F118" t="s">
        <v>36</v>
      </c>
      <c r="G118" t="s">
        <v>37</v>
      </c>
      <c r="H118" t="s">
        <v>38</v>
      </c>
      <c r="I118" t="s">
        <v>39</v>
      </c>
      <c r="J118"/>
      <c r="K118"/>
      <c r="L118" t="s">
        <v>234</v>
      </c>
      <c r="M118" t="s">
        <v>47</v>
      </c>
      <c r="N118">
        <v>1E-3</v>
      </c>
      <c r="O118" t="s">
        <v>42</v>
      </c>
      <c r="Q118">
        <v>2026</v>
      </c>
      <c r="R118" s="27">
        <v>136</v>
      </c>
      <c r="S118" t="s">
        <v>43</v>
      </c>
      <c r="U118"/>
      <c r="W118"/>
      <c r="Y118"/>
      <c r="AA118"/>
      <c r="AB118"/>
      <c r="AD118"/>
      <c r="AF118"/>
      <c r="AH118"/>
    </row>
    <row r="119" spans="2:35">
      <c r="B119" s="21" t="s">
        <v>1728</v>
      </c>
      <c r="C119" t="s">
        <v>240</v>
      </c>
      <c r="D119" t="s">
        <v>89</v>
      </c>
      <c r="E119">
        <v>49</v>
      </c>
      <c r="F119" s="21" t="s">
        <v>1667</v>
      </c>
      <c r="G119" t="s">
        <v>37</v>
      </c>
      <c r="H119" t="s">
        <v>38</v>
      </c>
      <c r="I119" t="s">
        <v>39</v>
      </c>
      <c r="J119"/>
      <c r="K119"/>
      <c r="L119" s="21" t="s">
        <v>1727</v>
      </c>
      <c r="M119" t="s">
        <v>91</v>
      </c>
      <c r="N119">
        <v>1</v>
      </c>
      <c r="O119" t="s">
        <v>42</v>
      </c>
      <c r="Q119"/>
      <c r="R119" s="27">
        <v>4.0000000000000001E-3</v>
      </c>
      <c r="S119" t="s">
        <v>43</v>
      </c>
      <c r="T119"/>
      <c r="U119"/>
      <c r="V119"/>
      <c r="W119"/>
      <c r="X119"/>
      <c r="Y119"/>
      <c r="Z119"/>
      <c r="AA119"/>
      <c r="AB119"/>
      <c r="AC119"/>
      <c r="AD119"/>
      <c r="AE119"/>
      <c r="AF119"/>
      <c r="AG119"/>
      <c r="AH119"/>
      <c r="AI119">
        <v>0</v>
      </c>
    </row>
    <row r="120" spans="2:35">
      <c r="B120" t="s">
        <v>242</v>
      </c>
      <c r="C120" t="s">
        <v>243</v>
      </c>
      <c r="D120" t="s">
        <v>89</v>
      </c>
      <c r="E120">
        <v>20</v>
      </c>
      <c r="F120" s="21" t="s">
        <v>1667</v>
      </c>
      <c r="G120" t="s">
        <v>37</v>
      </c>
      <c r="H120" t="s">
        <v>38</v>
      </c>
      <c r="I120" t="s">
        <v>39</v>
      </c>
      <c r="J120"/>
      <c r="K120"/>
      <c r="L120" t="s">
        <v>90</v>
      </c>
      <c r="M120" t="s">
        <v>91</v>
      </c>
      <c r="N120">
        <v>1</v>
      </c>
      <c r="O120" t="s">
        <v>42</v>
      </c>
      <c r="Q120"/>
      <c r="R120" s="27">
        <v>4.0000000000000001E-3</v>
      </c>
      <c r="S120" t="s">
        <v>43</v>
      </c>
      <c r="U120"/>
      <c r="W120"/>
      <c r="Y120"/>
      <c r="AA120"/>
      <c r="AB120"/>
      <c r="AD120"/>
      <c r="AF120"/>
      <c r="AH120"/>
    </row>
    <row r="121" spans="2:35">
      <c r="B121" t="s">
        <v>244</v>
      </c>
      <c r="C121" t="s">
        <v>245</v>
      </c>
      <c r="D121" t="s">
        <v>89</v>
      </c>
      <c r="E121">
        <v>20</v>
      </c>
      <c r="F121" s="21" t="s">
        <v>1667</v>
      </c>
      <c r="G121" t="s">
        <v>37</v>
      </c>
      <c r="H121" t="s">
        <v>38</v>
      </c>
      <c r="I121" t="s">
        <v>39</v>
      </c>
      <c r="J121"/>
      <c r="K121"/>
      <c r="L121" t="s">
        <v>241</v>
      </c>
      <c r="M121" t="s">
        <v>91</v>
      </c>
      <c r="N121">
        <v>1</v>
      </c>
      <c r="O121" t="s">
        <v>42</v>
      </c>
      <c r="Q121"/>
      <c r="R121" s="27">
        <v>4.0000000000000001E-3</v>
      </c>
      <c r="S121" t="s">
        <v>43</v>
      </c>
      <c r="T121"/>
      <c r="U121"/>
      <c r="V121"/>
      <c r="W121"/>
      <c r="X121"/>
      <c r="Y121"/>
      <c r="Z121"/>
      <c r="AA121"/>
      <c r="AB121"/>
      <c r="AC121"/>
      <c r="AD121"/>
      <c r="AE121"/>
      <c r="AF121"/>
      <c r="AG121"/>
      <c r="AH121"/>
      <c r="AI121">
        <v>0</v>
      </c>
    </row>
    <row r="122" spans="2:35">
      <c r="B122" t="s">
        <v>246</v>
      </c>
      <c r="C122" t="s">
        <v>247</v>
      </c>
      <c r="D122" t="s">
        <v>89</v>
      </c>
      <c r="E122">
        <v>20</v>
      </c>
      <c r="F122" s="21" t="s">
        <v>1667</v>
      </c>
      <c r="G122" t="s">
        <v>37</v>
      </c>
      <c r="H122" t="s">
        <v>38</v>
      </c>
      <c r="I122" t="s">
        <v>39</v>
      </c>
      <c r="J122"/>
      <c r="K122"/>
      <c r="L122" t="s">
        <v>90</v>
      </c>
      <c r="M122" t="s">
        <v>91</v>
      </c>
      <c r="N122">
        <v>1</v>
      </c>
      <c r="O122" t="s">
        <v>42</v>
      </c>
      <c r="Q122"/>
      <c r="R122" s="27">
        <v>4.0000000000000001E-3</v>
      </c>
      <c r="S122" t="s">
        <v>43</v>
      </c>
      <c r="U122"/>
      <c r="W122"/>
      <c r="Y122"/>
      <c r="AA122"/>
      <c r="AB122"/>
      <c r="AD122"/>
      <c r="AF122"/>
      <c r="AH122"/>
    </row>
    <row r="123" spans="2:35">
      <c r="B123" s="21" t="s">
        <v>1729</v>
      </c>
      <c r="C123" t="s">
        <v>249</v>
      </c>
      <c r="D123" t="s">
        <v>89</v>
      </c>
      <c r="E123">
        <v>49</v>
      </c>
      <c r="F123" s="21" t="s">
        <v>1667</v>
      </c>
      <c r="G123" t="s">
        <v>37</v>
      </c>
      <c r="H123" t="s">
        <v>38</v>
      </c>
      <c r="I123" t="s">
        <v>39</v>
      </c>
      <c r="J123"/>
      <c r="K123"/>
      <c r="L123" t="s">
        <v>241</v>
      </c>
      <c r="M123" t="s">
        <v>91</v>
      </c>
      <c r="N123">
        <v>1</v>
      </c>
      <c r="O123" t="s">
        <v>42</v>
      </c>
      <c r="Q123"/>
      <c r="R123" s="27">
        <v>4.0000000000000001E-3</v>
      </c>
      <c r="S123" t="s">
        <v>43</v>
      </c>
      <c r="T123"/>
      <c r="U123"/>
      <c r="V123"/>
      <c r="W123"/>
      <c r="X123"/>
      <c r="Y123"/>
      <c r="Z123"/>
      <c r="AA123"/>
      <c r="AB123"/>
      <c r="AC123"/>
      <c r="AD123"/>
      <c r="AE123"/>
      <c r="AF123"/>
      <c r="AG123"/>
      <c r="AH123"/>
      <c r="AI123">
        <v>0</v>
      </c>
    </row>
    <row r="124" spans="2:35">
      <c r="B124" s="21" t="s">
        <v>1730</v>
      </c>
      <c r="C124" t="s">
        <v>251</v>
      </c>
      <c r="D124" t="s">
        <v>35</v>
      </c>
      <c r="E124">
        <v>49.99</v>
      </c>
      <c r="F124" t="s">
        <v>36</v>
      </c>
      <c r="G124" t="s">
        <v>37</v>
      </c>
      <c r="H124" t="s">
        <v>38</v>
      </c>
      <c r="I124" t="s">
        <v>39</v>
      </c>
      <c r="J124"/>
      <c r="K124"/>
      <c r="L124" t="s">
        <v>237</v>
      </c>
      <c r="M124" t="s">
        <v>47</v>
      </c>
      <c r="N124">
        <v>1E-3</v>
      </c>
      <c r="O124" t="s">
        <v>42</v>
      </c>
      <c r="Q124">
        <v>2022</v>
      </c>
      <c r="R124" s="27">
        <v>136</v>
      </c>
      <c r="S124" t="s">
        <v>43</v>
      </c>
      <c r="U124"/>
      <c r="W124"/>
      <c r="Y124"/>
      <c r="AA124"/>
      <c r="AB124"/>
      <c r="AD124"/>
      <c r="AF124"/>
      <c r="AH124"/>
    </row>
    <row r="125" spans="2:35">
      <c r="B125" t="s">
        <v>252</v>
      </c>
      <c r="C125" t="s">
        <v>253</v>
      </c>
      <c r="D125" t="s">
        <v>89</v>
      </c>
      <c r="E125">
        <v>345</v>
      </c>
      <c r="F125" s="21" t="s">
        <v>1667</v>
      </c>
      <c r="G125" t="s">
        <v>37</v>
      </c>
      <c r="H125" t="s">
        <v>38</v>
      </c>
      <c r="I125" t="s">
        <v>39</v>
      </c>
      <c r="J125"/>
      <c r="K125"/>
      <c r="L125" t="s">
        <v>225</v>
      </c>
      <c r="M125" t="s">
        <v>91</v>
      </c>
      <c r="N125">
        <v>1</v>
      </c>
      <c r="O125" t="s">
        <v>42</v>
      </c>
      <c r="Q125"/>
      <c r="R125" s="27">
        <v>0.22500000000000001</v>
      </c>
      <c r="S125" t="s">
        <v>43</v>
      </c>
      <c r="T125"/>
      <c r="U125"/>
      <c r="V125"/>
      <c r="W125"/>
      <c r="X125"/>
      <c r="Y125"/>
      <c r="Z125"/>
      <c r="AA125"/>
      <c r="AB125"/>
      <c r="AC125"/>
      <c r="AD125"/>
      <c r="AE125"/>
      <c r="AF125"/>
      <c r="AG125"/>
      <c r="AH125"/>
      <c r="AI125">
        <v>0</v>
      </c>
    </row>
    <row r="126" spans="2:35">
      <c r="B126" t="s">
        <v>254</v>
      </c>
      <c r="C126" t="s">
        <v>255</v>
      </c>
      <c r="D126" t="s">
        <v>89</v>
      </c>
      <c r="E126">
        <v>50</v>
      </c>
      <c r="F126" s="21" t="s">
        <v>1667</v>
      </c>
      <c r="G126" t="s">
        <v>37</v>
      </c>
      <c r="H126" t="s">
        <v>38</v>
      </c>
      <c r="I126" t="s">
        <v>39</v>
      </c>
      <c r="J126"/>
      <c r="K126"/>
      <c r="L126" t="s">
        <v>104</v>
      </c>
      <c r="M126" t="s">
        <v>91</v>
      </c>
      <c r="N126">
        <v>1</v>
      </c>
      <c r="O126" t="s">
        <v>42</v>
      </c>
      <c r="Q126"/>
      <c r="R126" s="27">
        <v>4.0000000000000001E-3</v>
      </c>
      <c r="S126" t="s">
        <v>43</v>
      </c>
      <c r="T126"/>
      <c r="U126"/>
      <c r="V126"/>
      <c r="W126"/>
      <c r="X126"/>
      <c r="Y126"/>
      <c r="Z126"/>
      <c r="AA126"/>
      <c r="AB126"/>
      <c r="AC126"/>
      <c r="AD126"/>
      <c r="AE126"/>
      <c r="AF126"/>
      <c r="AG126"/>
      <c r="AH126"/>
      <c r="AI126">
        <v>0</v>
      </c>
    </row>
    <row r="127" spans="2:35">
      <c r="B127" t="s">
        <v>256</v>
      </c>
      <c r="C127" t="s">
        <v>257</v>
      </c>
      <c r="D127" t="s">
        <v>89</v>
      </c>
      <c r="E127">
        <v>50</v>
      </c>
      <c r="F127" s="21" t="s">
        <v>1667</v>
      </c>
      <c r="G127" t="s">
        <v>37</v>
      </c>
      <c r="H127" t="s">
        <v>38</v>
      </c>
      <c r="I127" t="s">
        <v>39</v>
      </c>
      <c r="J127"/>
      <c r="K127"/>
      <c r="L127" t="s">
        <v>241</v>
      </c>
      <c r="M127" t="s">
        <v>91</v>
      </c>
      <c r="N127">
        <v>1</v>
      </c>
      <c r="O127" t="s">
        <v>42</v>
      </c>
      <c r="Q127"/>
      <c r="R127" s="27">
        <v>4.0000000000000001E-3</v>
      </c>
      <c r="S127" t="s">
        <v>43</v>
      </c>
      <c r="T127"/>
      <c r="U127"/>
      <c r="V127"/>
      <c r="W127"/>
      <c r="X127"/>
      <c r="Y127"/>
      <c r="Z127"/>
      <c r="AA127"/>
      <c r="AB127"/>
      <c r="AC127"/>
      <c r="AD127"/>
      <c r="AE127"/>
      <c r="AF127"/>
      <c r="AG127"/>
      <c r="AH127"/>
      <c r="AI127">
        <v>0</v>
      </c>
    </row>
    <row r="128" spans="2:35">
      <c r="B128" t="s">
        <v>258</v>
      </c>
      <c r="C128" t="s">
        <v>259</v>
      </c>
      <c r="D128" t="s">
        <v>35</v>
      </c>
      <c r="E128">
        <v>30.067</v>
      </c>
      <c r="F128" t="s">
        <v>36</v>
      </c>
      <c r="G128" t="s">
        <v>37</v>
      </c>
      <c r="H128" t="s">
        <v>38</v>
      </c>
      <c r="I128" t="s">
        <v>39</v>
      </c>
      <c r="J128"/>
      <c r="K128"/>
      <c r="L128" t="s">
        <v>234</v>
      </c>
      <c r="M128" t="s">
        <v>47</v>
      </c>
      <c r="N128">
        <v>1E-3</v>
      </c>
      <c r="O128" t="s">
        <v>42</v>
      </c>
      <c r="Q128">
        <v>2026</v>
      </c>
      <c r="R128" s="27">
        <v>136</v>
      </c>
      <c r="S128" t="s">
        <v>43</v>
      </c>
      <c r="U128"/>
      <c r="W128"/>
      <c r="Y128"/>
      <c r="AA128"/>
      <c r="AB128"/>
      <c r="AD128"/>
      <c r="AF128"/>
      <c r="AH128"/>
    </row>
    <row r="129" spans="2:35">
      <c r="B129" t="s">
        <v>252</v>
      </c>
      <c r="C129" t="s">
        <v>253</v>
      </c>
      <c r="D129" t="s">
        <v>89</v>
      </c>
      <c r="E129">
        <v>345</v>
      </c>
      <c r="F129" s="21" t="s">
        <v>1667</v>
      </c>
      <c r="G129" t="s">
        <v>37</v>
      </c>
      <c r="H129" t="s">
        <v>38</v>
      </c>
      <c r="I129" t="s">
        <v>39</v>
      </c>
      <c r="J129"/>
      <c r="K129"/>
      <c r="L129" t="s">
        <v>225</v>
      </c>
      <c r="M129" t="s">
        <v>91</v>
      </c>
      <c r="N129">
        <v>1</v>
      </c>
      <c r="O129" t="s">
        <v>42</v>
      </c>
      <c r="P129" t="s">
        <v>226</v>
      </c>
      <c r="Q129"/>
      <c r="R129" s="27">
        <v>0.22500000000000001</v>
      </c>
      <c r="S129" t="s">
        <v>43</v>
      </c>
      <c r="T129"/>
      <c r="U129"/>
      <c r="V129"/>
      <c r="W129"/>
      <c r="X129"/>
      <c r="Y129"/>
      <c r="Z129"/>
      <c r="AA129"/>
      <c r="AB129"/>
      <c r="AC129"/>
      <c r="AD129"/>
      <c r="AE129"/>
      <c r="AF129"/>
      <c r="AG129"/>
      <c r="AH129"/>
      <c r="AI129">
        <v>0</v>
      </c>
    </row>
    <row r="130" spans="2:35">
      <c r="B130" t="s">
        <v>260</v>
      </c>
      <c r="C130" t="s">
        <v>261</v>
      </c>
      <c r="D130" t="s">
        <v>35</v>
      </c>
      <c r="E130">
        <v>41.658000000000001</v>
      </c>
      <c r="F130" t="s">
        <v>36</v>
      </c>
      <c r="G130" t="s">
        <v>37</v>
      </c>
      <c r="H130" t="s">
        <v>38</v>
      </c>
      <c r="I130" t="s">
        <v>39</v>
      </c>
      <c r="J130"/>
      <c r="K130"/>
      <c r="L130" t="s">
        <v>234</v>
      </c>
      <c r="M130" t="s">
        <v>47</v>
      </c>
      <c r="N130">
        <v>1E-3</v>
      </c>
      <c r="O130" t="s">
        <v>42</v>
      </c>
      <c r="Q130">
        <v>2022</v>
      </c>
      <c r="R130" s="27">
        <v>136</v>
      </c>
      <c r="S130" t="s">
        <v>43</v>
      </c>
      <c r="U130"/>
      <c r="W130"/>
      <c r="Y130"/>
      <c r="AA130"/>
      <c r="AB130"/>
      <c r="AD130"/>
      <c r="AF130"/>
      <c r="AH130"/>
    </row>
    <row r="131" spans="2:35">
      <c r="B131" t="s">
        <v>262</v>
      </c>
      <c r="C131" t="s">
        <v>263</v>
      </c>
      <c r="D131" t="s">
        <v>35</v>
      </c>
      <c r="E131">
        <v>5000</v>
      </c>
      <c r="F131" t="s">
        <v>231</v>
      </c>
      <c r="G131" t="s">
        <v>37</v>
      </c>
      <c r="H131" t="s">
        <v>38</v>
      </c>
      <c r="I131" t="s">
        <v>39</v>
      </c>
      <c r="J131"/>
      <c r="K131"/>
      <c r="L131" s="24" t="s">
        <v>170</v>
      </c>
      <c r="M131" t="s">
        <v>47</v>
      </c>
      <c r="N131">
        <v>1E-3</v>
      </c>
      <c r="O131" t="s">
        <v>42</v>
      </c>
      <c r="P131" t="s">
        <v>132</v>
      </c>
      <c r="Q131"/>
      <c r="R131" s="27">
        <v>113</v>
      </c>
      <c r="S131" t="s">
        <v>43</v>
      </c>
      <c r="T131"/>
      <c r="U131"/>
      <c r="V131"/>
      <c r="W131"/>
      <c r="X131"/>
      <c r="Y131"/>
      <c r="Z131"/>
      <c r="AA131"/>
      <c r="AB131"/>
      <c r="AC131"/>
      <c r="AD131"/>
      <c r="AE131"/>
      <c r="AF131"/>
      <c r="AG131"/>
      <c r="AH131"/>
      <c r="AI131">
        <v>0</v>
      </c>
    </row>
    <row r="132" spans="2:35">
      <c r="B132" t="s">
        <v>264</v>
      </c>
      <c r="C132" t="s">
        <v>265</v>
      </c>
      <c r="D132" t="s">
        <v>89</v>
      </c>
      <c r="E132">
        <v>447.17</v>
      </c>
      <c r="F132" t="s">
        <v>266</v>
      </c>
      <c r="G132" t="s">
        <v>37</v>
      </c>
      <c r="H132" t="s">
        <v>38</v>
      </c>
      <c r="I132" t="s">
        <v>39</v>
      </c>
      <c r="J132"/>
      <c r="K132"/>
      <c r="L132" t="s">
        <v>154</v>
      </c>
      <c r="M132" t="s">
        <v>47</v>
      </c>
      <c r="N132">
        <v>1E-3</v>
      </c>
      <c r="O132" t="s">
        <v>42</v>
      </c>
      <c r="Q132">
        <v>2025</v>
      </c>
      <c r="R132" s="27">
        <v>250</v>
      </c>
      <c r="S132" t="s">
        <v>43</v>
      </c>
      <c r="U132"/>
      <c r="W132"/>
      <c r="Y132"/>
      <c r="AA132"/>
      <c r="AB132"/>
      <c r="AD132"/>
      <c r="AF132"/>
      <c r="AH132"/>
    </row>
    <row r="133" spans="2:35">
      <c r="B133" t="s">
        <v>267</v>
      </c>
      <c r="C133" t="s">
        <v>268</v>
      </c>
      <c r="D133" t="s">
        <v>89</v>
      </c>
      <c r="E133">
        <v>709.73</v>
      </c>
      <c r="F133" t="s">
        <v>36</v>
      </c>
      <c r="G133" t="s">
        <v>37</v>
      </c>
      <c r="H133" t="s">
        <v>38</v>
      </c>
      <c r="I133" t="s">
        <v>39</v>
      </c>
      <c r="J133"/>
      <c r="K133"/>
      <c r="L133" t="s">
        <v>269</v>
      </c>
      <c r="M133" t="s">
        <v>47</v>
      </c>
      <c r="N133">
        <v>1E-3</v>
      </c>
      <c r="O133" t="s">
        <v>42</v>
      </c>
      <c r="Q133">
        <v>2025</v>
      </c>
      <c r="R133" s="27">
        <v>164</v>
      </c>
      <c r="S133" t="s">
        <v>43</v>
      </c>
      <c r="U133"/>
      <c r="W133"/>
      <c r="Y133"/>
      <c r="AA133"/>
      <c r="AB133"/>
      <c r="AD133"/>
      <c r="AF133"/>
      <c r="AH133"/>
    </row>
    <row r="134" spans="2:35">
      <c r="B134" s="21" t="s">
        <v>1731</v>
      </c>
      <c r="C134" t="s">
        <v>270</v>
      </c>
      <c r="D134" t="s">
        <v>35</v>
      </c>
      <c r="E134">
        <v>7250</v>
      </c>
      <c r="F134" t="s">
        <v>36</v>
      </c>
      <c r="G134" t="s">
        <v>37</v>
      </c>
      <c r="H134" t="s">
        <v>38</v>
      </c>
      <c r="I134" t="s">
        <v>39</v>
      </c>
      <c r="J134"/>
      <c r="K134"/>
      <c r="L134" s="24" t="s">
        <v>50</v>
      </c>
      <c r="M134" t="s">
        <v>47</v>
      </c>
      <c r="N134">
        <v>1E-3</v>
      </c>
      <c r="O134" t="s">
        <v>42</v>
      </c>
      <c r="Q134">
        <v>2025</v>
      </c>
      <c r="R134" s="27">
        <v>75</v>
      </c>
      <c r="S134" t="s">
        <v>43</v>
      </c>
      <c r="U134"/>
      <c r="W134"/>
      <c r="Y134"/>
      <c r="AA134"/>
      <c r="AB134"/>
      <c r="AD134"/>
      <c r="AF134"/>
      <c r="AH134"/>
    </row>
    <row r="135" spans="2:35">
      <c r="B135" t="s">
        <v>272</v>
      </c>
      <c r="C135" t="s">
        <v>273</v>
      </c>
      <c r="D135" t="s">
        <v>35</v>
      </c>
      <c r="E135">
        <v>5500</v>
      </c>
      <c r="F135" t="s">
        <v>36</v>
      </c>
      <c r="G135" t="s">
        <v>37</v>
      </c>
      <c r="H135" t="s">
        <v>38</v>
      </c>
      <c r="I135" t="s">
        <v>39</v>
      </c>
      <c r="J135"/>
      <c r="K135"/>
      <c r="L135" s="24" t="s">
        <v>125</v>
      </c>
      <c r="M135" t="s">
        <v>47</v>
      </c>
      <c r="N135">
        <v>1E-3</v>
      </c>
      <c r="O135" t="s">
        <v>42</v>
      </c>
      <c r="Q135">
        <v>2026</v>
      </c>
      <c r="R135" s="27">
        <v>66</v>
      </c>
      <c r="S135" t="s">
        <v>43</v>
      </c>
      <c r="U135"/>
      <c r="W135"/>
      <c r="Y135"/>
      <c r="AA135"/>
      <c r="AB135"/>
      <c r="AD135"/>
      <c r="AF135"/>
      <c r="AH135"/>
    </row>
    <row r="136" spans="2:35">
      <c r="B136" t="s">
        <v>264</v>
      </c>
      <c r="C136" t="s">
        <v>274</v>
      </c>
      <c r="D136" t="s">
        <v>89</v>
      </c>
      <c r="E136">
        <v>181.04</v>
      </c>
      <c r="F136" t="s">
        <v>53</v>
      </c>
      <c r="G136" t="s">
        <v>37</v>
      </c>
      <c r="H136" t="s">
        <v>38</v>
      </c>
      <c r="I136" t="s">
        <v>39</v>
      </c>
      <c r="J136"/>
      <c r="K136"/>
      <c r="L136" t="s">
        <v>112</v>
      </c>
      <c r="M136" t="s">
        <v>47</v>
      </c>
      <c r="N136">
        <v>1E-3</v>
      </c>
      <c r="O136" t="s">
        <v>42</v>
      </c>
      <c r="Q136">
        <v>2026</v>
      </c>
      <c r="R136" s="27">
        <v>250</v>
      </c>
      <c r="S136" t="s">
        <v>43</v>
      </c>
      <c r="U136"/>
      <c r="W136"/>
      <c r="Y136"/>
      <c r="AA136"/>
      <c r="AB136"/>
      <c r="AD136"/>
      <c r="AF136"/>
      <c r="AH136"/>
    </row>
    <row r="137" spans="2:35">
      <c r="B137" t="s">
        <v>275</v>
      </c>
      <c r="C137" t="s">
        <v>276</v>
      </c>
      <c r="D137" t="s">
        <v>35</v>
      </c>
      <c r="E137">
        <v>750</v>
      </c>
      <c r="F137" t="s">
        <v>36</v>
      </c>
      <c r="G137" t="s">
        <v>37</v>
      </c>
      <c r="H137" t="s">
        <v>38</v>
      </c>
      <c r="I137" t="s">
        <v>39</v>
      </c>
      <c r="J137"/>
      <c r="K137"/>
      <c r="L137" s="21" t="s">
        <v>1732</v>
      </c>
      <c r="M137" s="23" t="s">
        <v>47</v>
      </c>
      <c r="N137">
        <v>1E-3</v>
      </c>
      <c r="O137" t="s">
        <v>42</v>
      </c>
      <c r="Q137"/>
      <c r="R137" s="27">
        <v>113</v>
      </c>
      <c r="S137" t="s">
        <v>43</v>
      </c>
      <c r="T137"/>
      <c r="U137"/>
      <c r="V137"/>
      <c r="W137"/>
      <c r="X137"/>
      <c r="Y137"/>
      <c r="Z137"/>
      <c r="AA137"/>
      <c r="AB137"/>
      <c r="AC137"/>
      <c r="AD137"/>
      <c r="AE137"/>
      <c r="AF137"/>
      <c r="AG137"/>
      <c r="AH137"/>
      <c r="AI137">
        <v>0</v>
      </c>
    </row>
    <row r="138" spans="2:35">
      <c r="B138" t="s">
        <v>113</v>
      </c>
      <c r="C138" t="s">
        <v>278</v>
      </c>
      <c r="D138" t="s">
        <v>35</v>
      </c>
      <c r="E138">
        <v>1900</v>
      </c>
      <c r="F138" t="s">
        <v>231</v>
      </c>
      <c r="G138" t="s">
        <v>37</v>
      </c>
      <c r="H138" t="s">
        <v>38</v>
      </c>
      <c r="I138" t="s">
        <v>39</v>
      </c>
      <c r="J138"/>
      <c r="K138"/>
      <c r="L138" s="21" t="s">
        <v>1732</v>
      </c>
      <c r="M138" s="23" t="s">
        <v>47</v>
      </c>
      <c r="N138">
        <v>1E-3</v>
      </c>
      <c r="O138" t="s">
        <v>42</v>
      </c>
      <c r="Q138"/>
      <c r="R138" s="27">
        <v>113</v>
      </c>
      <c r="S138" t="s">
        <v>43</v>
      </c>
      <c r="U138"/>
      <c r="W138"/>
      <c r="Y138"/>
      <c r="AA138"/>
      <c r="AB138"/>
      <c r="AD138"/>
      <c r="AF138"/>
      <c r="AH138"/>
    </row>
    <row r="139" spans="2:35">
      <c r="B139" t="s">
        <v>280</v>
      </c>
      <c r="C139" t="s">
        <v>281</v>
      </c>
      <c r="D139" t="s">
        <v>89</v>
      </c>
      <c r="E139">
        <v>136.74</v>
      </c>
      <c r="F139" t="s">
        <v>36</v>
      </c>
      <c r="G139" t="s">
        <v>37</v>
      </c>
      <c r="H139" t="s">
        <v>38</v>
      </c>
      <c r="I139" t="s">
        <v>39</v>
      </c>
      <c r="J139"/>
      <c r="K139"/>
      <c r="L139" t="s">
        <v>112</v>
      </c>
      <c r="M139" t="s">
        <v>47</v>
      </c>
      <c r="N139">
        <v>1E-3</v>
      </c>
      <c r="O139" t="s">
        <v>42</v>
      </c>
      <c r="Q139">
        <v>2026</v>
      </c>
      <c r="R139" s="27">
        <v>250</v>
      </c>
      <c r="S139" t="s">
        <v>43</v>
      </c>
      <c r="U139"/>
      <c r="W139"/>
      <c r="Y139"/>
      <c r="AA139"/>
      <c r="AB139"/>
      <c r="AD139"/>
      <c r="AF139"/>
      <c r="AH139"/>
    </row>
    <row r="140" spans="2:35">
      <c r="B140" t="s">
        <v>284</v>
      </c>
      <c r="C140" t="s">
        <v>285</v>
      </c>
      <c r="D140" t="s">
        <v>35</v>
      </c>
      <c r="E140">
        <v>20</v>
      </c>
      <c r="F140" s="21" t="s">
        <v>1667</v>
      </c>
      <c r="G140" t="s">
        <v>37</v>
      </c>
      <c r="H140" t="s">
        <v>38</v>
      </c>
      <c r="I140" t="s">
        <v>39</v>
      </c>
      <c r="J140"/>
      <c r="K140"/>
      <c r="L140" t="s">
        <v>241</v>
      </c>
      <c r="M140" t="s">
        <v>91</v>
      </c>
      <c r="N140">
        <v>1</v>
      </c>
      <c r="O140" t="s">
        <v>42</v>
      </c>
      <c r="P140" s="23"/>
      <c r="Q140"/>
      <c r="R140" s="27">
        <v>4.0000000000000001E-3</v>
      </c>
      <c r="S140" t="s">
        <v>43</v>
      </c>
      <c r="T140"/>
      <c r="U140"/>
      <c r="V140"/>
      <c r="W140"/>
      <c r="X140"/>
      <c r="Y140"/>
      <c r="Z140"/>
      <c r="AA140"/>
      <c r="AB140"/>
      <c r="AC140"/>
      <c r="AD140"/>
      <c r="AE140"/>
      <c r="AF140"/>
      <c r="AG140"/>
      <c r="AH140"/>
      <c r="AI140">
        <v>0</v>
      </c>
    </row>
    <row r="141" spans="2:35">
      <c r="B141" s="21" t="s">
        <v>1733</v>
      </c>
      <c r="C141" t="s">
        <v>289</v>
      </c>
      <c r="D141" t="s">
        <v>89</v>
      </c>
      <c r="E141">
        <v>345</v>
      </c>
      <c r="F141" s="21" t="s">
        <v>1667</v>
      </c>
      <c r="G141" t="s">
        <v>37</v>
      </c>
      <c r="H141" t="s">
        <v>38</v>
      </c>
      <c r="I141" t="s">
        <v>39</v>
      </c>
      <c r="J141"/>
      <c r="K141"/>
      <c r="L141" t="s">
        <v>225</v>
      </c>
      <c r="M141" t="s">
        <v>91</v>
      </c>
      <c r="N141">
        <v>1</v>
      </c>
      <c r="O141" t="s">
        <v>42</v>
      </c>
      <c r="P141" s="23"/>
      <c r="Q141"/>
      <c r="R141" s="27">
        <v>0.22500000000000001</v>
      </c>
      <c r="S141" t="s">
        <v>43</v>
      </c>
      <c r="T141"/>
      <c r="U141"/>
      <c r="V141"/>
      <c r="W141"/>
      <c r="X141"/>
      <c r="Y141"/>
      <c r="Z141"/>
      <c r="AA141"/>
      <c r="AB141"/>
      <c r="AC141"/>
      <c r="AD141"/>
      <c r="AE141"/>
      <c r="AF141"/>
      <c r="AG141"/>
      <c r="AH141"/>
      <c r="AI141">
        <v>0</v>
      </c>
    </row>
    <row r="142" spans="2:35">
      <c r="B142" t="s">
        <v>290</v>
      </c>
      <c r="C142" t="s">
        <v>291</v>
      </c>
      <c r="D142" t="s">
        <v>89</v>
      </c>
      <c r="E142">
        <v>345</v>
      </c>
      <c r="F142" s="21" t="s">
        <v>1667</v>
      </c>
      <c r="G142" t="s">
        <v>37</v>
      </c>
      <c r="H142" t="s">
        <v>38</v>
      </c>
      <c r="I142" t="s">
        <v>39</v>
      </c>
      <c r="J142"/>
      <c r="K142"/>
      <c r="L142" t="s">
        <v>225</v>
      </c>
      <c r="M142" t="s">
        <v>91</v>
      </c>
      <c r="N142">
        <v>1</v>
      </c>
      <c r="O142" t="s">
        <v>42</v>
      </c>
      <c r="P142" s="23"/>
      <c r="Q142"/>
      <c r="R142" s="27">
        <v>0.22500000000000001</v>
      </c>
      <c r="S142" t="s">
        <v>43</v>
      </c>
      <c r="T142"/>
      <c r="U142"/>
      <c r="V142"/>
      <c r="W142"/>
      <c r="X142"/>
      <c r="Y142"/>
      <c r="Z142"/>
      <c r="AA142"/>
      <c r="AB142"/>
      <c r="AC142"/>
      <c r="AD142"/>
      <c r="AE142"/>
      <c r="AF142"/>
      <c r="AG142"/>
      <c r="AH142"/>
      <c r="AI142">
        <v>0</v>
      </c>
    </row>
    <row r="143" spans="2:35">
      <c r="B143" t="s">
        <v>292</v>
      </c>
      <c r="C143" t="s">
        <v>293</v>
      </c>
      <c r="D143" t="s">
        <v>89</v>
      </c>
      <c r="E143">
        <v>12</v>
      </c>
      <c r="F143" s="21" t="s">
        <v>1667</v>
      </c>
      <c r="G143" t="s">
        <v>37</v>
      </c>
      <c r="H143" t="s">
        <v>38</v>
      </c>
      <c r="I143" t="s">
        <v>39</v>
      </c>
      <c r="J143"/>
      <c r="K143"/>
      <c r="L143" t="s">
        <v>294</v>
      </c>
      <c r="M143" t="s">
        <v>91</v>
      </c>
      <c r="N143">
        <v>1</v>
      </c>
      <c r="O143" t="s">
        <v>42</v>
      </c>
      <c r="P143" s="23"/>
      <c r="Q143"/>
      <c r="R143" s="27">
        <v>7.0000000000000007E-2</v>
      </c>
      <c r="S143" t="s">
        <v>43</v>
      </c>
      <c r="T143"/>
      <c r="U143"/>
      <c r="V143"/>
      <c r="W143"/>
      <c r="X143"/>
      <c r="Y143"/>
      <c r="Z143"/>
      <c r="AA143"/>
      <c r="AB143"/>
      <c r="AC143"/>
      <c r="AD143"/>
      <c r="AE143"/>
      <c r="AF143"/>
      <c r="AG143"/>
      <c r="AH143"/>
      <c r="AI143">
        <v>0</v>
      </c>
    </row>
    <row r="144" spans="2:35">
      <c r="B144" s="21" t="s">
        <v>1735</v>
      </c>
      <c r="C144" t="s">
        <v>296</v>
      </c>
      <c r="D144" t="s">
        <v>89</v>
      </c>
      <c r="E144">
        <v>8200</v>
      </c>
      <c r="F144" s="21" t="s">
        <v>1667</v>
      </c>
      <c r="G144" t="s">
        <v>37</v>
      </c>
      <c r="H144" t="s">
        <v>38</v>
      </c>
      <c r="I144" t="s">
        <v>39</v>
      </c>
      <c r="J144"/>
      <c r="K144"/>
      <c r="L144" t="s">
        <v>225</v>
      </c>
      <c r="M144" s="21" t="s">
        <v>1736</v>
      </c>
      <c r="N144">
        <v>1</v>
      </c>
      <c r="O144" t="s">
        <v>42</v>
      </c>
      <c r="P144" s="23"/>
      <c r="Q144"/>
      <c r="R144" s="27">
        <v>0.15</v>
      </c>
      <c r="S144" t="s">
        <v>43</v>
      </c>
      <c r="T144"/>
      <c r="U144"/>
      <c r="V144"/>
      <c r="W144"/>
      <c r="X144"/>
      <c r="Y144"/>
      <c r="Z144"/>
      <c r="AA144"/>
      <c r="AB144"/>
      <c r="AC144"/>
      <c r="AD144"/>
      <c r="AE144"/>
      <c r="AF144"/>
      <c r="AG144"/>
      <c r="AH144"/>
      <c r="AI144">
        <v>0</v>
      </c>
    </row>
    <row r="145" spans="2:35">
      <c r="B145" s="21" t="s">
        <v>1734</v>
      </c>
      <c r="C145" t="s">
        <v>297</v>
      </c>
      <c r="D145" t="s">
        <v>89</v>
      </c>
      <c r="E145">
        <v>330</v>
      </c>
      <c r="F145" s="21" t="s">
        <v>1667</v>
      </c>
      <c r="G145" t="s">
        <v>37</v>
      </c>
      <c r="H145" t="s">
        <v>38</v>
      </c>
      <c r="I145" t="s">
        <v>39</v>
      </c>
      <c r="J145"/>
      <c r="K145"/>
      <c r="L145" t="s">
        <v>241</v>
      </c>
      <c r="M145" t="s">
        <v>91</v>
      </c>
      <c r="N145">
        <v>1</v>
      </c>
      <c r="O145" t="s">
        <v>42</v>
      </c>
      <c r="P145" s="23"/>
      <c r="Q145"/>
      <c r="R145" s="27">
        <v>4.0000000000000001E-3</v>
      </c>
      <c r="S145" t="s">
        <v>43</v>
      </c>
      <c r="T145"/>
      <c r="U145"/>
      <c r="V145"/>
      <c r="W145"/>
      <c r="X145"/>
      <c r="Y145"/>
      <c r="Z145"/>
      <c r="AA145"/>
      <c r="AB145"/>
      <c r="AC145"/>
      <c r="AD145"/>
      <c r="AE145"/>
      <c r="AF145"/>
      <c r="AG145"/>
      <c r="AH145"/>
      <c r="AI145">
        <v>0</v>
      </c>
    </row>
    <row r="146" spans="2:35">
      <c r="B146" t="s">
        <v>298</v>
      </c>
      <c r="C146" t="s">
        <v>299</v>
      </c>
      <c r="D146" t="s">
        <v>89</v>
      </c>
      <c r="E146">
        <v>685</v>
      </c>
      <c r="F146" t="s">
        <v>36</v>
      </c>
      <c r="G146" t="s">
        <v>37</v>
      </c>
      <c r="H146" t="s">
        <v>38</v>
      </c>
      <c r="I146" t="s">
        <v>39</v>
      </c>
      <c r="J146"/>
      <c r="K146"/>
      <c r="L146" t="s">
        <v>112</v>
      </c>
      <c r="M146" t="s">
        <v>47</v>
      </c>
      <c r="N146">
        <v>1E-3</v>
      </c>
      <c r="O146" t="s">
        <v>42</v>
      </c>
      <c r="P146" s="23"/>
      <c r="Q146">
        <v>2026</v>
      </c>
      <c r="R146" s="27">
        <v>250</v>
      </c>
      <c r="S146" t="s">
        <v>43</v>
      </c>
      <c r="U146"/>
      <c r="W146"/>
      <c r="Y146"/>
      <c r="AA146"/>
      <c r="AB146"/>
      <c r="AD146"/>
      <c r="AF146"/>
      <c r="AH146"/>
    </row>
    <row r="147" spans="2:35">
      <c r="B147" t="s">
        <v>300</v>
      </c>
      <c r="C147" t="s">
        <v>300</v>
      </c>
      <c r="D147" t="s">
        <v>89</v>
      </c>
      <c r="E147">
        <v>80.510000000000005</v>
      </c>
      <c r="F147" t="s">
        <v>36</v>
      </c>
      <c r="G147" t="s">
        <v>37</v>
      </c>
      <c r="H147" t="s">
        <v>38</v>
      </c>
      <c r="I147" t="s">
        <v>39</v>
      </c>
      <c r="J147"/>
      <c r="K147"/>
      <c r="L147" t="s">
        <v>154</v>
      </c>
      <c r="M147" t="s">
        <v>47</v>
      </c>
      <c r="N147">
        <v>1E-3</v>
      </c>
      <c r="O147" t="s">
        <v>42</v>
      </c>
      <c r="P147" s="23"/>
      <c r="Q147">
        <v>2025</v>
      </c>
      <c r="R147" s="27">
        <v>250</v>
      </c>
      <c r="S147" t="s">
        <v>43</v>
      </c>
      <c r="U147"/>
      <c r="W147"/>
      <c r="Y147"/>
      <c r="AA147"/>
      <c r="AB147"/>
      <c r="AD147"/>
      <c r="AF147"/>
      <c r="AH147"/>
    </row>
    <row r="148" spans="2:35">
      <c r="B148" t="s">
        <v>301</v>
      </c>
      <c r="C148" t="s">
        <v>302</v>
      </c>
      <c r="D148" t="s">
        <v>35</v>
      </c>
      <c r="E148">
        <v>2</v>
      </c>
      <c r="F148" s="21" t="s">
        <v>1737</v>
      </c>
      <c r="G148" t="s">
        <v>37</v>
      </c>
      <c r="H148" t="s">
        <v>38</v>
      </c>
      <c r="I148" t="s">
        <v>39</v>
      </c>
      <c r="J148"/>
      <c r="K148"/>
      <c r="L148" s="21" t="s">
        <v>1738</v>
      </c>
      <c r="M148" s="21" t="s">
        <v>1746</v>
      </c>
      <c r="N148">
        <v>1</v>
      </c>
      <c r="O148" t="s">
        <v>42</v>
      </c>
      <c r="P148" s="23"/>
      <c r="Q148"/>
      <c r="R148" s="27">
        <v>2.63</v>
      </c>
      <c r="S148" t="s">
        <v>43</v>
      </c>
      <c r="U148"/>
      <c r="W148"/>
      <c r="Y148"/>
      <c r="AA148"/>
      <c r="AB148"/>
      <c r="AD148"/>
      <c r="AF148"/>
      <c r="AH148"/>
    </row>
    <row r="149" spans="2:35">
      <c r="B149" t="s">
        <v>307</v>
      </c>
      <c r="C149" t="s">
        <v>308</v>
      </c>
      <c r="D149" t="s">
        <v>89</v>
      </c>
      <c r="E149">
        <v>20</v>
      </c>
      <c r="F149" s="21" t="s">
        <v>1667</v>
      </c>
      <c r="G149" t="s">
        <v>37</v>
      </c>
      <c r="H149" t="s">
        <v>38</v>
      </c>
      <c r="I149" t="s">
        <v>39</v>
      </c>
      <c r="J149"/>
      <c r="K149"/>
      <c r="L149" t="s">
        <v>90</v>
      </c>
      <c r="M149" t="s">
        <v>91</v>
      </c>
      <c r="N149">
        <v>1</v>
      </c>
      <c r="O149" t="s">
        <v>42</v>
      </c>
      <c r="P149" s="23"/>
      <c r="Q149"/>
      <c r="R149" s="27">
        <v>0.01</v>
      </c>
      <c r="S149" t="s">
        <v>43</v>
      </c>
      <c r="U149"/>
      <c r="W149"/>
      <c r="Y149"/>
      <c r="AA149"/>
      <c r="AB149"/>
      <c r="AD149"/>
      <c r="AF149"/>
      <c r="AH149"/>
    </row>
    <row r="150" spans="2:35">
      <c r="B150" t="s">
        <v>311</v>
      </c>
      <c r="C150" t="s">
        <v>312</v>
      </c>
      <c r="D150" t="s">
        <v>35</v>
      </c>
      <c r="E150">
        <v>18</v>
      </c>
      <c r="F150" t="s">
        <v>36</v>
      </c>
      <c r="G150" t="s">
        <v>37</v>
      </c>
      <c r="H150" t="s">
        <v>38</v>
      </c>
      <c r="I150" t="s">
        <v>39</v>
      </c>
      <c r="J150"/>
      <c r="K150"/>
      <c r="L150" t="s">
        <v>112</v>
      </c>
      <c r="M150" t="s">
        <v>47</v>
      </c>
      <c r="N150">
        <v>1E-3</v>
      </c>
      <c r="O150" t="s">
        <v>42</v>
      </c>
      <c r="Q150">
        <v>2026</v>
      </c>
      <c r="R150" s="27">
        <v>250</v>
      </c>
      <c r="S150" t="s">
        <v>43</v>
      </c>
      <c r="U150"/>
      <c r="W150"/>
      <c r="Y150"/>
      <c r="AA150"/>
      <c r="AB150"/>
      <c r="AD150"/>
      <c r="AF150"/>
      <c r="AH150"/>
    </row>
    <row r="151" spans="2:35">
      <c r="B151" t="s">
        <v>313</v>
      </c>
      <c r="C151" t="s">
        <v>314</v>
      </c>
      <c r="D151" t="s">
        <v>35</v>
      </c>
      <c r="E151">
        <v>20</v>
      </c>
      <c r="F151" t="s">
        <v>36</v>
      </c>
      <c r="G151" t="s">
        <v>37</v>
      </c>
      <c r="H151" t="s">
        <v>38</v>
      </c>
      <c r="I151" t="s">
        <v>39</v>
      </c>
      <c r="J151"/>
      <c r="K151"/>
      <c r="L151" t="s">
        <v>112</v>
      </c>
      <c r="M151" t="s">
        <v>47</v>
      </c>
      <c r="N151">
        <v>1E-3</v>
      </c>
      <c r="O151" t="s">
        <v>42</v>
      </c>
      <c r="Q151">
        <v>2026</v>
      </c>
      <c r="R151" s="27">
        <v>250</v>
      </c>
      <c r="S151" t="s">
        <v>43</v>
      </c>
      <c r="U151"/>
      <c r="W151"/>
      <c r="Y151"/>
      <c r="AA151"/>
      <c r="AB151"/>
      <c r="AD151"/>
      <c r="AF151"/>
      <c r="AH151"/>
    </row>
    <row r="152" spans="2:35">
      <c r="B152" t="s">
        <v>292</v>
      </c>
      <c r="C152" t="s">
        <v>315</v>
      </c>
      <c r="D152" t="s">
        <v>89</v>
      </c>
      <c r="E152">
        <v>20</v>
      </c>
      <c r="F152" s="21" t="s">
        <v>1667</v>
      </c>
      <c r="G152" t="s">
        <v>37</v>
      </c>
      <c r="H152" t="s">
        <v>38</v>
      </c>
      <c r="I152" t="s">
        <v>39</v>
      </c>
      <c r="J152"/>
      <c r="K152"/>
      <c r="L152" s="21" t="s">
        <v>1739</v>
      </c>
      <c r="M152" t="s">
        <v>91</v>
      </c>
      <c r="N152">
        <v>1</v>
      </c>
      <c r="O152" t="s">
        <v>42</v>
      </c>
      <c r="Q152">
        <v>2026</v>
      </c>
      <c r="R152" s="27">
        <v>7.0000000000000007E-2</v>
      </c>
      <c r="S152" t="s">
        <v>43</v>
      </c>
      <c r="U152"/>
      <c r="W152"/>
      <c r="Y152"/>
      <c r="AA152"/>
      <c r="AB152"/>
      <c r="AD152"/>
      <c r="AF152"/>
      <c r="AH152"/>
    </row>
    <row r="153" spans="2:35">
      <c r="B153" t="s">
        <v>319</v>
      </c>
      <c r="C153" t="s">
        <v>320</v>
      </c>
      <c r="D153" t="s">
        <v>35</v>
      </c>
      <c r="E153">
        <v>1864.55</v>
      </c>
      <c r="F153" t="s">
        <v>36</v>
      </c>
      <c r="G153" t="s">
        <v>37</v>
      </c>
      <c r="H153" t="s">
        <v>38</v>
      </c>
      <c r="I153" t="s">
        <v>39</v>
      </c>
      <c r="J153"/>
      <c r="K153"/>
      <c r="L153" s="21" t="s">
        <v>1732</v>
      </c>
      <c r="M153" t="s">
        <v>47</v>
      </c>
      <c r="N153">
        <v>1E-3</v>
      </c>
      <c r="O153" t="s">
        <v>42</v>
      </c>
      <c r="Q153">
        <v>2023</v>
      </c>
      <c r="R153" s="27">
        <v>113</v>
      </c>
      <c r="S153" t="s">
        <v>43</v>
      </c>
      <c r="U153"/>
      <c r="W153"/>
      <c r="Y153"/>
      <c r="AA153"/>
      <c r="AB153"/>
      <c r="AD153"/>
      <c r="AF153"/>
      <c r="AH153"/>
    </row>
    <row r="154" spans="2:35">
      <c r="B154" t="s">
        <v>311</v>
      </c>
      <c r="C154" t="s">
        <v>312</v>
      </c>
      <c r="D154" t="s">
        <v>35</v>
      </c>
      <c r="E154">
        <v>10</v>
      </c>
      <c r="F154" t="s">
        <v>36</v>
      </c>
      <c r="G154" t="s">
        <v>37</v>
      </c>
      <c r="H154" t="s">
        <v>38</v>
      </c>
      <c r="I154" t="s">
        <v>39</v>
      </c>
      <c r="J154"/>
      <c r="K154"/>
      <c r="L154" t="s">
        <v>112</v>
      </c>
      <c r="M154" t="s">
        <v>47</v>
      </c>
      <c r="N154">
        <v>1E-3</v>
      </c>
      <c r="O154" t="s">
        <v>42</v>
      </c>
      <c r="Q154">
        <v>2026</v>
      </c>
      <c r="R154" s="27">
        <v>250</v>
      </c>
      <c r="S154" t="s">
        <v>43</v>
      </c>
      <c r="U154"/>
      <c r="W154"/>
      <c r="Y154"/>
      <c r="AA154"/>
      <c r="AB154"/>
      <c r="AD154"/>
      <c r="AF154"/>
      <c r="AH154"/>
    </row>
    <row r="155" spans="2:35">
      <c r="B155" t="s">
        <v>324</v>
      </c>
      <c r="C155" t="s">
        <v>325</v>
      </c>
      <c r="D155" t="s">
        <v>35</v>
      </c>
      <c r="E155">
        <v>1895</v>
      </c>
      <c r="F155" t="s">
        <v>53</v>
      </c>
      <c r="G155" t="s">
        <v>37</v>
      </c>
      <c r="H155" t="s">
        <v>38</v>
      </c>
      <c r="I155" t="s">
        <v>39</v>
      </c>
      <c r="J155"/>
      <c r="K155"/>
      <c r="L155" s="21" t="s">
        <v>1732</v>
      </c>
      <c r="M155" t="s">
        <v>47</v>
      </c>
      <c r="N155">
        <v>1E-3</v>
      </c>
      <c r="O155" t="s">
        <v>42</v>
      </c>
      <c r="Q155"/>
      <c r="R155" s="27">
        <v>113</v>
      </c>
      <c r="S155" t="s">
        <v>43</v>
      </c>
      <c r="T155"/>
      <c r="U155"/>
      <c r="V155"/>
      <c r="W155"/>
      <c r="X155"/>
      <c r="Y155"/>
      <c r="Z155"/>
      <c r="AA155"/>
      <c r="AB155"/>
      <c r="AC155"/>
      <c r="AD155"/>
      <c r="AE155"/>
      <c r="AF155"/>
      <c r="AG155"/>
      <c r="AH155"/>
      <c r="AI155">
        <v>0</v>
      </c>
    </row>
    <row r="156" spans="2:35">
      <c r="B156" t="s">
        <v>97</v>
      </c>
      <c r="C156" t="s">
        <v>328</v>
      </c>
      <c r="D156" t="s">
        <v>89</v>
      </c>
      <c r="E156">
        <v>130</v>
      </c>
      <c r="F156" s="22" t="s">
        <v>1667</v>
      </c>
      <c r="G156" t="s">
        <v>37</v>
      </c>
      <c r="H156" t="s">
        <v>38</v>
      </c>
      <c r="I156" t="s">
        <v>39</v>
      </c>
      <c r="J156"/>
      <c r="K156"/>
      <c r="L156" t="s">
        <v>94</v>
      </c>
      <c r="M156" t="s">
        <v>91</v>
      </c>
      <c r="N156">
        <v>1</v>
      </c>
      <c r="O156" t="s">
        <v>42</v>
      </c>
      <c r="Q156"/>
      <c r="R156" s="27">
        <v>3.7600000000000001E-2</v>
      </c>
      <c r="S156" t="s">
        <v>43</v>
      </c>
      <c r="T156"/>
      <c r="U156"/>
      <c r="V156"/>
      <c r="W156"/>
      <c r="X156"/>
      <c r="Y156"/>
      <c r="Z156"/>
      <c r="AA156"/>
      <c r="AB156"/>
      <c r="AC156"/>
      <c r="AD156"/>
      <c r="AE156"/>
      <c r="AF156"/>
      <c r="AG156"/>
      <c r="AH156"/>
      <c r="AI156">
        <v>0</v>
      </c>
    </row>
    <row r="157" spans="2:35">
      <c r="B157" t="s">
        <v>97</v>
      </c>
      <c r="C157" t="s">
        <v>328</v>
      </c>
      <c r="D157" t="s">
        <v>89</v>
      </c>
      <c r="E157">
        <v>135</v>
      </c>
      <c r="F157" s="21" t="s">
        <v>1667</v>
      </c>
      <c r="G157" t="s">
        <v>37</v>
      </c>
      <c r="H157" t="s">
        <v>38</v>
      </c>
      <c r="I157" t="s">
        <v>39</v>
      </c>
      <c r="J157"/>
      <c r="K157"/>
      <c r="L157" t="s">
        <v>94</v>
      </c>
      <c r="M157" t="s">
        <v>91</v>
      </c>
      <c r="N157">
        <v>1</v>
      </c>
      <c r="O157" t="s">
        <v>42</v>
      </c>
      <c r="Q157"/>
      <c r="R157" s="27">
        <v>3.7600000000000001E-2</v>
      </c>
      <c r="S157" t="s">
        <v>43</v>
      </c>
      <c r="T157"/>
      <c r="U157"/>
      <c r="V157"/>
      <c r="W157"/>
      <c r="X157"/>
      <c r="Y157"/>
      <c r="Z157"/>
      <c r="AA157"/>
      <c r="AB157"/>
      <c r="AC157"/>
      <c r="AD157"/>
      <c r="AE157"/>
      <c r="AF157"/>
      <c r="AG157"/>
      <c r="AH157"/>
      <c r="AI157">
        <v>0</v>
      </c>
    </row>
    <row r="158" spans="2:35">
      <c r="B158" t="s">
        <v>97</v>
      </c>
      <c r="C158" t="s">
        <v>329</v>
      </c>
      <c r="D158" t="s">
        <v>89</v>
      </c>
      <c r="E158">
        <v>120</v>
      </c>
      <c r="F158" s="21" t="s">
        <v>1667</v>
      </c>
      <c r="G158" t="s">
        <v>37</v>
      </c>
      <c r="H158" t="s">
        <v>38</v>
      </c>
      <c r="I158" t="s">
        <v>39</v>
      </c>
      <c r="J158"/>
      <c r="K158"/>
      <c r="L158" t="s">
        <v>90</v>
      </c>
      <c r="M158" t="s">
        <v>91</v>
      </c>
      <c r="N158">
        <v>1</v>
      </c>
      <c r="O158" t="s">
        <v>42</v>
      </c>
      <c r="Q158"/>
      <c r="R158" s="27">
        <v>3.7600000000000001E-2</v>
      </c>
      <c r="S158" t="s">
        <v>43</v>
      </c>
      <c r="U158"/>
      <c r="W158"/>
      <c r="Y158"/>
      <c r="AA158"/>
      <c r="AB158"/>
      <c r="AD158"/>
      <c r="AF158"/>
      <c r="AH158"/>
    </row>
    <row r="159" spans="2:35">
      <c r="B159" t="s">
        <v>298</v>
      </c>
      <c r="C159" t="s">
        <v>332</v>
      </c>
      <c r="D159" t="s">
        <v>89</v>
      </c>
      <c r="E159">
        <v>129</v>
      </c>
      <c r="F159" t="s">
        <v>36</v>
      </c>
      <c r="G159" t="s">
        <v>37</v>
      </c>
      <c r="H159" t="s">
        <v>38</v>
      </c>
      <c r="I159" t="s">
        <v>39</v>
      </c>
      <c r="J159"/>
      <c r="K159"/>
      <c r="L159" t="s">
        <v>154</v>
      </c>
      <c r="M159" t="s">
        <v>47</v>
      </c>
      <c r="N159">
        <v>1E-3</v>
      </c>
      <c r="O159" t="s">
        <v>42</v>
      </c>
      <c r="Q159">
        <v>2025</v>
      </c>
      <c r="R159" s="27">
        <v>250</v>
      </c>
      <c r="S159" t="s">
        <v>43</v>
      </c>
      <c r="U159"/>
      <c r="W159"/>
      <c r="Y159"/>
      <c r="AA159"/>
      <c r="AB159"/>
      <c r="AD159"/>
      <c r="AF159"/>
      <c r="AH159"/>
    </row>
    <row r="160" spans="2:35">
      <c r="B160" t="s">
        <v>333</v>
      </c>
      <c r="C160" t="s">
        <v>334</v>
      </c>
      <c r="D160" t="s">
        <v>89</v>
      </c>
      <c r="E160">
        <v>150.85</v>
      </c>
      <c r="F160" t="s">
        <v>36</v>
      </c>
      <c r="G160" t="s">
        <v>37</v>
      </c>
      <c r="H160" t="s">
        <v>38</v>
      </c>
      <c r="I160" t="s">
        <v>39</v>
      </c>
      <c r="J160"/>
      <c r="K160"/>
      <c r="L160" t="s">
        <v>112</v>
      </c>
      <c r="M160" t="s">
        <v>47</v>
      </c>
      <c r="N160">
        <v>1E-3</v>
      </c>
      <c r="O160" t="s">
        <v>42</v>
      </c>
      <c r="Q160">
        <v>2026</v>
      </c>
      <c r="R160" s="27">
        <v>250</v>
      </c>
      <c r="S160" t="s">
        <v>43</v>
      </c>
      <c r="U160"/>
      <c r="W160"/>
      <c r="Y160"/>
      <c r="AA160"/>
      <c r="AB160"/>
      <c r="AD160"/>
      <c r="AF160"/>
      <c r="AH160"/>
    </row>
    <row r="161" spans="2:35">
      <c r="B161" s="21" t="s">
        <v>1740</v>
      </c>
      <c r="C161" t="s">
        <v>335</v>
      </c>
      <c r="D161" t="s">
        <v>89</v>
      </c>
      <c r="E161">
        <v>780</v>
      </c>
      <c r="F161" s="21" t="s">
        <v>1667</v>
      </c>
      <c r="G161" t="s">
        <v>37</v>
      </c>
      <c r="H161" t="s">
        <v>38</v>
      </c>
      <c r="I161" t="s">
        <v>39</v>
      </c>
      <c r="J161"/>
      <c r="K161"/>
      <c r="L161" t="s">
        <v>107</v>
      </c>
      <c r="M161" t="s">
        <v>91</v>
      </c>
      <c r="N161">
        <v>1</v>
      </c>
      <c r="O161" t="s">
        <v>42</v>
      </c>
      <c r="Q161"/>
      <c r="R161" s="27">
        <v>3.0000000000000001E-3</v>
      </c>
      <c r="S161" t="s">
        <v>43</v>
      </c>
      <c r="T161"/>
      <c r="U161"/>
      <c r="V161"/>
      <c r="W161"/>
      <c r="X161"/>
      <c r="Y161"/>
      <c r="Z161"/>
      <c r="AA161"/>
      <c r="AB161"/>
      <c r="AC161"/>
      <c r="AD161"/>
      <c r="AE161"/>
      <c r="AF161"/>
      <c r="AG161"/>
      <c r="AH161"/>
      <c r="AI161">
        <v>0</v>
      </c>
    </row>
    <row r="162" spans="2:35">
      <c r="B162" t="s">
        <v>298</v>
      </c>
      <c r="C162" t="s">
        <v>340</v>
      </c>
      <c r="D162" t="s">
        <v>89</v>
      </c>
      <c r="E162">
        <v>260.51600000000002</v>
      </c>
      <c r="F162" t="s">
        <v>341</v>
      </c>
      <c r="G162" t="s">
        <v>37</v>
      </c>
      <c r="H162" t="s">
        <v>38</v>
      </c>
      <c r="I162" t="s">
        <v>39</v>
      </c>
      <c r="J162"/>
      <c r="K162"/>
      <c r="L162" s="21" t="s">
        <v>1741</v>
      </c>
      <c r="M162" t="s">
        <v>47</v>
      </c>
      <c r="N162">
        <v>1E-3</v>
      </c>
      <c r="O162" t="s">
        <v>42</v>
      </c>
      <c r="Q162">
        <v>2022</v>
      </c>
      <c r="R162" s="27">
        <v>250</v>
      </c>
      <c r="S162" t="s">
        <v>43</v>
      </c>
      <c r="U162"/>
      <c r="W162"/>
      <c r="Y162"/>
      <c r="AA162"/>
      <c r="AB162"/>
      <c r="AD162"/>
      <c r="AF162"/>
      <c r="AH162"/>
    </row>
    <row r="163" spans="2:35">
      <c r="B163" t="s">
        <v>97</v>
      </c>
      <c r="C163" t="s">
        <v>342</v>
      </c>
      <c r="D163" t="s">
        <v>89</v>
      </c>
      <c r="E163">
        <v>220</v>
      </c>
      <c r="F163" s="21" t="s">
        <v>1667</v>
      </c>
      <c r="G163" t="s">
        <v>37</v>
      </c>
      <c r="H163" t="s">
        <v>38</v>
      </c>
      <c r="I163" t="s">
        <v>39</v>
      </c>
      <c r="J163"/>
      <c r="K163"/>
      <c r="L163" t="s">
        <v>94</v>
      </c>
      <c r="M163" t="s">
        <v>91</v>
      </c>
      <c r="N163">
        <v>1</v>
      </c>
      <c r="O163" t="s">
        <v>42</v>
      </c>
      <c r="Q163"/>
      <c r="R163" s="27">
        <v>0.04</v>
      </c>
      <c r="S163" t="s">
        <v>43</v>
      </c>
      <c r="T163"/>
      <c r="U163"/>
      <c r="V163"/>
      <c r="W163"/>
      <c r="X163"/>
      <c r="Y163"/>
      <c r="Z163"/>
      <c r="AA163"/>
      <c r="AB163"/>
      <c r="AC163"/>
      <c r="AD163"/>
      <c r="AE163"/>
      <c r="AF163"/>
      <c r="AG163"/>
      <c r="AH163"/>
      <c r="AI163">
        <v>0</v>
      </c>
    </row>
    <row r="164" spans="2:35">
      <c r="B164" t="s">
        <v>343</v>
      </c>
      <c r="C164" t="s">
        <v>344</v>
      </c>
      <c r="D164" t="s">
        <v>35</v>
      </c>
      <c r="E164">
        <v>45.98</v>
      </c>
      <c r="F164" t="s">
        <v>36</v>
      </c>
      <c r="G164" t="s">
        <v>37</v>
      </c>
      <c r="H164" t="s">
        <v>38</v>
      </c>
      <c r="I164" t="s">
        <v>39</v>
      </c>
      <c r="J164"/>
      <c r="K164"/>
      <c r="L164" t="s">
        <v>237</v>
      </c>
      <c r="M164" t="s">
        <v>47</v>
      </c>
      <c r="N164">
        <v>1E-3</v>
      </c>
      <c r="O164" t="s">
        <v>42</v>
      </c>
      <c r="Q164">
        <v>2022</v>
      </c>
      <c r="R164" s="27">
        <v>136</v>
      </c>
      <c r="S164" t="s">
        <v>43</v>
      </c>
      <c r="U164"/>
      <c r="W164"/>
      <c r="Y164"/>
      <c r="AA164"/>
      <c r="AB164"/>
      <c r="AD164"/>
      <c r="AF164"/>
      <c r="AH164"/>
    </row>
    <row r="165" spans="2:35">
      <c r="B165" t="s">
        <v>345</v>
      </c>
      <c r="C165" t="s">
        <v>346</v>
      </c>
      <c r="D165" t="s">
        <v>35</v>
      </c>
      <c r="E165">
        <v>45.98</v>
      </c>
      <c r="F165" t="s">
        <v>36</v>
      </c>
      <c r="G165" t="s">
        <v>37</v>
      </c>
      <c r="H165" t="s">
        <v>38</v>
      </c>
      <c r="I165" t="s">
        <v>39</v>
      </c>
      <c r="J165"/>
      <c r="K165"/>
      <c r="L165" t="s">
        <v>234</v>
      </c>
      <c r="M165" t="s">
        <v>47</v>
      </c>
      <c r="N165">
        <v>1E-3</v>
      </c>
      <c r="O165" t="s">
        <v>42</v>
      </c>
      <c r="Q165">
        <v>2026</v>
      </c>
      <c r="R165" s="27">
        <v>136</v>
      </c>
      <c r="S165" t="s">
        <v>43</v>
      </c>
      <c r="U165"/>
      <c r="W165"/>
      <c r="Y165"/>
      <c r="AA165"/>
      <c r="AB165"/>
      <c r="AD165"/>
      <c r="AF165"/>
      <c r="AH165"/>
    </row>
    <row r="166" spans="2:35">
      <c r="B166" t="s">
        <v>347</v>
      </c>
      <c r="C166" t="s">
        <v>348</v>
      </c>
      <c r="D166" t="s">
        <v>35</v>
      </c>
      <c r="E166">
        <v>42.22</v>
      </c>
      <c r="F166" t="s">
        <v>36</v>
      </c>
      <c r="G166" t="s">
        <v>37</v>
      </c>
      <c r="H166" t="s">
        <v>38</v>
      </c>
      <c r="I166" t="s">
        <v>39</v>
      </c>
      <c r="J166"/>
      <c r="K166"/>
      <c r="L166" t="s">
        <v>349</v>
      </c>
      <c r="M166" t="s">
        <v>47</v>
      </c>
      <c r="N166">
        <v>1E-3</v>
      </c>
      <c r="O166" t="s">
        <v>42</v>
      </c>
      <c r="Q166">
        <v>2025</v>
      </c>
      <c r="R166" s="27">
        <v>136</v>
      </c>
      <c r="S166" t="s">
        <v>43</v>
      </c>
      <c r="U166"/>
      <c r="W166"/>
      <c r="Y166"/>
      <c r="AA166"/>
      <c r="AB166"/>
      <c r="AD166"/>
      <c r="AF166"/>
      <c r="AH166"/>
    </row>
    <row r="167" spans="2:35">
      <c r="B167" t="s">
        <v>232</v>
      </c>
      <c r="C167" t="s">
        <v>233</v>
      </c>
      <c r="D167" t="s">
        <v>35</v>
      </c>
      <c r="E167">
        <v>46.73</v>
      </c>
      <c r="F167" t="s">
        <v>36</v>
      </c>
      <c r="G167" t="s">
        <v>37</v>
      </c>
      <c r="H167" t="s">
        <v>38</v>
      </c>
      <c r="I167" t="s">
        <v>39</v>
      </c>
      <c r="J167"/>
      <c r="K167"/>
      <c r="L167" t="s">
        <v>234</v>
      </c>
      <c r="M167" t="s">
        <v>47</v>
      </c>
      <c r="N167">
        <v>1E-3</v>
      </c>
      <c r="O167" t="s">
        <v>42</v>
      </c>
      <c r="Q167">
        <v>2026</v>
      </c>
      <c r="R167" s="27">
        <v>136</v>
      </c>
      <c r="S167" t="s">
        <v>43</v>
      </c>
      <c r="U167"/>
      <c r="W167"/>
      <c r="Y167"/>
      <c r="AA167"/>
      <c r="AB167"/>
      <c r="AD167"/>
      <c r="AF167"/>
      <c r="AH167"/>
    </row>
    <row r="168" spans="2:35">
      <c r="B168" t="s">
        <v>350</v>
      </c>
      <c r="C168" t="s">
        <v>351</v>
      </c>
      <c r="D168" t="s">
        <v>35</v>
      </c>
      <c r="E168">
        <v>42.22</v>
      </c>
      <c r="F168" t="s">
        <v>36</v>
      </c>
      <c r="G168" t="s">
        <v>37</v>
      </c>
      <c r="H168" t="s">
        <v>38</v>
      </c>
      <c r="I168" t="s">
        <v>39</v>
      </c>
      <c r="J168"/>
      <c r="K168"/>
      <c r="L168" t="s">
        <v>349</v>
      </c>
      <c r="M168" t="s">
        <v>47</v>
      </c>
      <c r="N168">
        <v>1E-3</v>
      </c>
      <c r="O168" t="s">
        <v>42</v>
      </c>
      <c r="Q168">
        <v>2025</v>
      </c>
      <c r="R168" s="27">
        <v>136</v>
      </c>
      <c r="S168" t="s">
        <v>43</v>
      </c>
      <c r="U168"/>
      <c r="W168"/>
      <c r="Y168"/>
      <c r="AA168"/>
      <c r="AB168"/>
      <c r="AD168"/>
      <c r="AF168"/>
      <c r="AH168"/>
    </row>
    <row r="169" spans="2:35">
      <c r="B169" t="s">
        <v>352</v>
      </c>
      <c r="C169" t="s">
        <v>352</v>
      </c>
      <c r="D169" t="s">
        <v>35</v>
      </c>
      <c r="E169">
        <v>42.22</v>
      </c>
      <c r="F169" t="s">
        <v>353</v>
      </c>
      <c r="G169" t="s">
        <v>37</v>
      </c>
      <c r="H169" t="s">
        <v>38</v>
      </c>
      <c r="I169" t="s">
        <v>39</v>
      </c>
      <c r="J169"/>
      <c r="K169"/>
      <c r="L169" t="s">
        <v>349</v>
      </c>
      <c r="M169" t="s">
        <v>47</v>
      </c>
      <c r="N169">
        <v>1E-3</v>
      </c>
      <c r="O169" t="s">
        <v>42</v>
      </c>
      <c r="Q169">
        <v>2025</v>
      </c>
      <c r="R169" s="27">
        <v>136</v>
      </c>
      <c r="S169" t="s">
        <v>43</v>
      </c>
      <c r="U169"/>
      <c r="W169"/>
      <c r="Y169"/>
      <c r="AA169"/>
      <c r="AB169"/>
      <c r="AD169"/>
      <c r="AF169"/>
      <c r="AH169"/>
    </row>
    <row r="170" spans="2:35">
      <c r="B170" t="s">
        <v>354</v>
      </c>
      <c r="C170" t="s">
        <v>355</v>
      </c>
      <c r="D170" t="s">
        <v>35</v>
      </c>
      <c r="E170">
        <v>42.22</v>
      </c>
      <c r="F170" t="s">
        <v>36</v>
      </c>
      <c r="G170" t="s">
        <v>37</v>
      </c>
      <c r="H170" t="s">
        <v>38</v>
      </c>
      <c r="I170" t="s">
        <v>39</v>
      </c>
      <c r="J170"/>
      <c r="K170"/>
      <c r="L170" t="s">
        <v>349</v>
      </c>
      <c r="M170" t="s">
        <v>47</v>
      </c>
      <c r="N170">
        <v>1E-3</v>
      </c>
      <c r="O170" t="s">
        <v>42</v>
      </c>
      <c r="Q170">
        <v>2025</v>
      </c>
      <c r="R170" s="27">
        <v>136</v>
      </c>
      <c r="S170" t="s">
        <v>43</v>
      </c>
      <c r="U170"/>
      <c r="W170"/>
      <c r="Y170"/>
      <c r="AA170"/>
      <c r="AB170"/>
      <c r="AD170"/>
      <c r="AF170"/>
      <c r="AH170"/>
    </row>
    <row r="171" spans="2:35">
      <c r="B171" t="s">
        <v>356</v>
      </c>
      <c r="C171" t="s">
        <v>357</v>
      </c>
      <c r="D171" t="s">
        <v>35</v>
      </c>
      <c r="E171">
        <v>42.22</v>
      </c>
      <c r="F171" t="s">
        <v>36</v>
      </c>
      <c r="G171" t="s">
        <v>37</v>
      </c>
      <c r="H171" t="s">
        <v>38</v>
      </c>
      <c r="I171" t="s">
        <v>39</v>
      </c>
      <c r="J171"/>
      <c r="K171"/>
      <c r="L171" t="s">
        <v>237</v>
      </c>
      <c r="M171" s="23" t="s">
        <v>47</v>
      </c>
      <c r="N171">
        <v>1E-3</v>
      </c>
      <c r="O171" t="s">
        <v>42</v>
      </c>
      <c r="Q171">
        <v>2022</v>
      </c>
      <c r="R171" s="27">
        <v>136</v>
      </c>
      <c r="S171" t="s">
        <v>43</v>
      </c>
      <c r="U171"/>
      <c r="W171"/>
      <c r="Y171"/>
      <c r="AA171"/>
      <c r="AB171"/>
      <c r="AD171"/>
      <c r="AF171"/>
      <c r="AH171"/>
    </row>
    <row r="172" spans="2:35">
      <c r="B172" t="s">
        <v>358</v>
      </c>
      <c r="C172" t="s">
        <v>359</v>
      </c>
      <c r="D172" t="s">
        <v>35</v>
      </c>
      <c r="E172">
        <v>42.22</v>
      </c>
      <c r="F172" t="s">
        <v>36</v>
      </c>
      <c r="G172" t="s">
        <v>37</v>
      </c>
      <c r="H172" t="s">
        <v>38</v>
      </c>
      <c r="I172" t="s">
        <v>39</v>
      </c>
      <c r="J172"/>
      <c r="K172"/>
      <c r="L172" t="s">
        <v>349</v>
      </c>
      <c r="M172" s="23" t="s">
        <v>47</v>
      </c>
      <c r="N172">
        <v>1E-3</v>
      </c>
      <c r="O172" t="s">
        <v>42</v>
      </c>
      <c r="Q172">
        <v>2025</v>
      </c>
      <c r="R172" s="27">
        <v>136</v>
      </c>
      <c r="S172" t="s">
        <v>43</v>
      </c>
      <c r="U172"/>
      <c r="W172"/>
      <c r="Y172"/>
      <c r="AA172"/>
      <c r="AB172"/>
      <c r="AD172"/>
      <c r="AF172"/>
      <c r="AH172"/>
    </row>
    <row r="173" spans="2:35">
      <c r="B173" t="s">
        <v>360</v>
      </c>
      <c r="C173" t="s">
        <v>360</v>
      </c>
      <c r="D173" t="s">
        <v>35</v>
      </c>
      <c r="E173">
        <v>42.22</v>
      </c>
      <c r="F173" t="s">
        <v>36</v>
      </c>
      <c r="G173" t="s">
        <v>37</v>
      </c>
      <c r="H173" t="s">
        <v>38</v>
      </c>
      <c r="I173" t="s">
        <v>39</v>
      </c>
      <c r="J173"/>
      <c r="K173"/>
      <c r="L173" t="s">
        <v>349</v>
      </c>
      <c r="M173" s="23" t="s">
        <v>47</v>
      </c>
      <c r="N173">
        <v>1E-3</v>
      </c>
      <c r="O173" t="s">
        <v>42</v>
      </c>
      <c r="Q173">
        <v>2025</v>
      </c>
      <c r="R173" s="27">
        <v>136</v>
      </c>
      <c r="S173" t="s">
        <v>43</v>
      </c>
      <c r="U173"/>
      <c r="W173"/>
      <c r="Y173"/>
      <c r="AA173"/>
      <c r="AB173"/>
      <c r="AD173"/>
      <c r="AF173"/>
      <c r="AH173"/>
    </row>
    <row r="174" spans="2:35">
      <c r="B174" t="s">
        <v>361</v>
      </c>
      <c r="C174" t="s">
        <v>362</v>
      </c>
      <c r="D174" t="s">
        <v>35</v>
      </c>
      <c r="E174">
        <v>42.22</v>
      </c>
      <c r="F174" t="s">
        <v>36</v>
      </c>
      <c r="G174" t="s">
        <v>37</v>
      </c>
      <c r="H174" t="s">
        <v>38</v>
      </c>
      <c r="I174" t="s">
        <v>39</v>
      </c>
      <c r="J174"/>
      <c r="K174"/>
      <c r="L174" t="s">
        <v>237</v>
      </c>
      <c r="M174" s="23" t="s">
        <v>47</v>
      </c>
      <c r="N174">
        <v>1E-3</v>
      </c>
      <c r="O174" t="s">
        <v>42</v>
      </c>
      <c r="Q174">
        <v>2022</v>
      </c>
      <c r="R174" s="27">
        <v>136</v>
      </c>
      <c r="S174" t="s">
        <v>43</v>
      </c>
      <c r="U174"/>
      <c r="W174"/>
      <c r="Y174"/>
      <c r="AA174"/>
      <c r="AB174"/>
      <c r="AD174"/>
      <c r="AF174"/>
      <c r="AH174"/>
    </row>
    <row r="175" spans="2:35">
      <c r="B175" t="s">
        <v>363</v>
      </c>
      <c r="C175" t="s">
        <v>364</v>
      </c>
      <c r="D175" t="s">
        <v>35</v>
      </c>
      <c r="E175">
        <v>42.22</v>
      </c>
      <c r="F175" t="s">
        <v>36</v>
      </c>
      <c r="G175" t="s">
        <v>37</v>
      </c>
      <c r="H175" t="s">
        <v>38</v>
      </c>
      <c r="I175" t="s">
        <v>39</v>
      </c>
      <c r="J175"/>
      <c r="K175"/>
      <c r="L175" t="s">
        <v>349</v>
      </c>
      <c r="M175" s="23" t="s">
        <v>47</v>
      </c>
      <c r="N175">
        <v>1E-3</v>
      </c>
      <c r="O175" t="s">
        <v>42</v>
      </c>
      <c r="Q175">
        <v>2025</v>
      </c>
      <c r="R175" s="27">
        <v>136</v>
      </c>
      <c r="S175" t="s">
        <v>43</v>
      </c>
      <c r="U175"/>
      <c r="W175"/>
      <c r="Y175"/>
      <c r="AA175"/>
      <c r="AB175"/>
      <c r="AD175"/>
      <c r="AF175"/>
      <c r="AH175"/>
    </row>
    <row r="176" spans="2:35">
      <c r="B176" s="21" t="s">
        <v>1742</v>
      </c>
      <c r="C176" t="s">
        <v>365</v>
      </c>
      <c r="D176" t="s">
        <v>35</v>
      </c>
      <c r="E176">
        <v>35.19</v>
      </c>
      <c r="F176" t="s">
        <v>36</v>
      </c>
      <c r="G176" t="s">
        <v>37</v>
      </c>
      <c r="H176" t="s">
        <v>38</v>
      </c>
      <c r="I176" t="s">
        <v>39</v>
      </c>
      <c r="J176"/>
      <c r="K176"/>
      <c r="L176" t="s">
        <v>349</v>
      </c>
      <c r="M176" s="23" t="s">
        <v>47</v>
      </c>
      <c r="N176">
        <v>1E-3</v>
      </c>
      <c r="O176" t="s">
        <v>42</v>
      </c>
      <c r="Q176"/>
      <c r="R176" s="27">
        <v>136</v>
      </c>
      <c r="S176" t="s">
        <v>43</v>
      </c>
      <c r="T176"/>
      <c r="U176"/>
      <c r="V176"/>
      <c r="W176"/>
      <c r="X176"/>
      <c r="Y176"/>
      <c r="Z176"/>
      <c r="AA176"/>
      <c r="AB176"/>
      <c r="AD176"/>
      <c r="AF176"/>
      <c r="AH176"/>
    </row>
    <row r="177" spans="2:35">
      <c r="B177" t="s">
        <v>260</v>
      </c>
      <c r="C177" t="s">
        <v>261</v>
      </c>
      <c r="D177" t="s">
        <v>35</v>
      </c>
      <c r="E177">
        <v>49.99</v>
      </c>
      <c r="F177" t="s">
        <v>36</v>
      </c>
      <c r="G177" t="s">
        <v>37</v>
      </c>
      <c r="H177" t="s">
        <v>38</v>
      </c>
      <c r="I177" t="s">
        <v>39</v>
      </c>
      <c r="J177"/>
      <c r="K177"/>
      <c r="L177" t="s">
        <v>237</v>
      </c>
      <c r="M177" s="23" t="s">
        <v>47</v>
      </c>
      <c r="N177">
        <v>1E-3</v>
      </c>
      <c r="O177" t="s">
        <v>42</v>
      </c>
      <c r="Q177">
        <v>2022</v>
      </c>
      <c r="R177" s="27">
        <v>136</v>
      </c>
      <c r="S177" t="s">
        <v>43</v>
      </c>
      <c r="U177"/>
      <c r="W177"/>
      <c r="Y177"/>
      <c r="AA177"/>
      <c r="AB177"/>
      <c r="AD177"/>
      <c r="AF177"/>
      <c r="AH177"/>
    </row>
    <row r="178" spans="2:35">
      <c r="B178" t="s">
        <v>368</v>
      </c>
      <c r="C178" t="s">
        <v>368</v>
      </c>
      <c r="D178" t="s">
        <v>35</v>
      </c>
      <c r="E178">
        <v>36.08</v>
      </c>
      <c r="F178" t="s">
        <v>36</v>
      </c>
      <c r="G178" t="s">
        <v>37</v>
      </c>
      <c r="H178" t="s">
        <v>38</v>
      </c>
      <c r="I178" t="s">
        <v>39</v>
      </c>
      <c r="J178"/>
      <c r="K178"/>
      <c r="L178" t="s">
        <v>234</v>
      </c>
      <c r="M178" t="s">
        <v>47</v>
      </c>
      <c r="N178">
        <v>1E-3</v>
      </c>
      <c r="O178" t="s">
        <v>42</v>
      </c>
      <c r="Q178">
        <v>2026</v>
      </c>
      <c r="R178" s="27">
        <v>136</v>
      </c>
      <c r="S178" t="s">
        <v>43</v>
      </c>
      <c r="U178"/>
      <c r="W178"/>
      <c r="Y178"/>
      <c r="AA178"/>
      <c r="AB178"/>
      <c r="AD178"/>
      <c r="AF178"/>
      <c r="AH178"/>
    </row>
    <row r="179" spans="2:35">
      <c r="B179" t="s">
        <v>250</v>
      </c>
      <c r="C179" t="s">
        <v>251</v>
      </c>
      <c r="D179" t="s">
        <v>35</v>
      </c>
      <c r="E179">
        <v>41.658000000000001</v>
      </c>
      <c r="F179" t="s">
        <v>36</v>
      </c>
      <c r="G179" t="s">
        <v>37</v>
      </c>
      <c r="H179" t="s">
        <v>38</v>
      </c>
      <c r="I179" t="s">
        <v>39</v>
      </c>
      <c r="J179"/>
      <c r="K179"/>
      <c r="L179" t="s">
        <v>237</v>
      </c>
      <c r="M179" t="s">
        <v>47</v>
      </c>
      <c r="N179">
        <v>1E-3</v>
      </c>
      <c r="O179" t="s">
        <v>42</v>
      </c>
      <c r="Q179">
        <v>2022</v>
      </c>
      <c r="R179" s="27">
        <v>136</v>
      </c>
      <c r="S179" t="s">
        <v>43</v>
      </c>
      <c r="U179"/>
      <c r="W179"/>
      <c r="Y179"/>
      <c r="AA179"/>
      <c r="AB179"/>
      <c r="AD179"/>
      <c r="AF179"/>
      <c r="AH179"/>
    </row>
    <row r="180" spans="2:35">
      <c r="B180" t="s">
        <v>260</v>
      </c>
      <c r="C180" t="s">
        <v>261</v>
      </c>
      <c r="D180" t="s">
        <v>35</v>
      </c>
      <c r="E180">
        <v>49.99</v>
      </c>
      <c r="F180" t="s">
        <v>36</v>
      </c>
      <c r="G180" t="s">
        <v>37</v>
      </c>
      <c r="H180" t="s">
        <v>38</v>
      </c>
      <c r="I180" t="s">
        <v>39</v>
      </c>
      <c r="J180"/>
      <c r="K180"/>
      <c r="L180" t="s">
        <v>237</v>
      </c>
      <c r="M180" t="s">
        <v>47</v>
      </c>
      <c r="N180">
        <v>1E-3</v>
      </c>
      <c r="O180" t="s">
        <v>42</v>
      </c>
      <c r="Q180">
        <v>2022</v>
      </c>
      <c r="R180" s="27">
        <v>136</v>
      </c>
      <c r="S180" t="s">
        <v>43</v>
      </c>
      <c r="U180"/>
      <c r="W180"/>
      <c r="Y180"/>
      <c r="AA180"/>
      <c r="AB180"/>
      <c r="AD180"/>
      <c r="AF180"/>
      <c r="AH180"/>
    </row>
    <row r="181" spans="2:35">
      <c r="B181" t="s">
        <v>369</v>
      </c>
      <c r="C181" t="s">
        <v>370</v>
      </c>
      <c r="D181" t="s">
        <v>89</v>
      </c>
      <c r="E181">
        <v>780</v>
      </c>
      <c r="F181" s="21" t="s">
        <v>1667</v>
      </c>
      <c r="G181" t="s">
        <v>37</v>
      </c>
      <c r="H181" t="s">
        <v>38</v>
      </c>
      <c r="I181" t="s">
        <v>39</v>
      </c>
      <c r="J181"/>
      <c r="K181"/>
      <c r="L181" t="s">
        <v>339</v>
      </c>
      <c r="M181" t="s">
        <v>91</v>
      </c>
      <c r="N181">
        <v>1</v>
      </c>
      <c r="O181" t="s">
        <v>42</v>
      </c>
      <c r="Q181"/>
      <c r="R181" s="27">
        <v>0.22500000000000001</v>
      </c>
      <c r="S181" t="s">
        <v>43</v>
      </c>
      <c r="T181"/>
      <c r="U181"/>
      <c r="V181"/>
      <c r="W181"/>
      <c r="X181"/>
      <c r="Y181"/>
      <c r="Z181"/>
      <c r="AA181"/>
      <c r="AB181"/>
      <c r="AC181"/>
      <c r="AD181"/>
      <c r="AE181"/>
      <c r="AF181"/>
      <c r="AG181"/>
      <c r="AH181"/>
      <c r="AI181">
        <v>0</v>
      </c>
    </row>
    <row r="182" spans="2:35">
      <c r="B182" t="s">
        <v>371</v>
      </c>
      <c r="C182" t="s">
        <v>372</v>
      </c>
      <c r="D182" t="s">
        <v>35</v>
      </c>
      <c r="E182">
        <v>49.99</v>
      </c>
      <c r="F182" t="s">
        <v>36</v>
      </c>
      <c r="G182" t="s">
        <v>37</v>
      </c>
      <c r="H182" t="s">
        <v>38</v>
      </c>
      <c r="I182" t="s">
        <v>39</v>
      </c>
      <c r="J182"/>
      <c r="K182"/>
      <c r="L182" t="s">
        <v>237</v>
      </c>
      <c r="M182" t="s">
        <v>47</v>
      </c>
      <c r="N182">
        <v>1E-3</v>
      </c>
      <c r="O182" t="s">
        <v>42</v>
      </c>
      <c r="Q182">
        <v>2022</v>
      </c>
      <c r="R182" s="27">
        <v>136</v>
      </c>
      <c r="S182" t="s">
        <v>43</v>
      </c>
      <c r="U182"/>
      <c r="W182"/>
      <c r="Y182"/>
      <c r="AA182"/>
      <c r="AB182"/>
      <c r="AD182"/>
      <c r="AF182"/>
      <c r="AH182"/>
    </row>
    <row r="183" spans="2:35">
      <c r="B183" t="s">
        <v>373</v>
      </c>
      <c r="C183" t="s">
        <v>374</v>
      </c>
      <c r="D183" t="s">
        <v>35</v>
      </c>
      <c r="E183">
        <v>45.98</v>
      </c>
      <c r="F183" t="s">
        <v>36</v>
      </c>
      <c r="G183" t="s">
        <v>37</v>
      </c>
      <c r="H183" t="s">
        <v>38</v>
      </c>
      <c r="I183" t="s">
        <v>39</v>
      </c>
      <c r="J183"/>
      <c r="K183"/>
      <c r="L183" t="s">
        <v>234</v>
      </c>
      <c r="M183" t="s">
        <v>47</v>
      </c>
      <c r="N183">
        <v>1E-3</v>
      </c>
      <c r="O183" t="s">
        <v>42</v>
      </c>
      <c r="Q183">
        <v>2026</v>
      </c>
      <c r="R183" s="27">
        <v>136</v>
      </c>
      <c r="S183" t="s">
        <v>43</v>
      </c>
      <c r="U183"/>
      <c r="W183"/>
      <c r="Y183"/>
      <c r="AA183"/>
      <c r="AB183"/>
      <c r="AD183"/>
      <c r="AF183"/>
      <c r="AH183"/>
    </row>
    <row r="184" spans="2:35">
      <c r="B184" t="s">
        <v>375</v>
      </c>
      <c r="C184" t="s">
        <v>376</v>
      </c>
      <c r="D184" t="s">
        <v>35</v>
      </c>
      <c r="E184">
        <v>500</v>
      </c>
      <c r="F184" t="s">
        <v>53</v>
      </c>
      <c r="G184" t="s">
        <v>37</v>
      </c>
      <c r="H184" t="s">
        <v>38</v>
      </c>
      <c r="I184" t="s">
        <v>39</v>
      </c>
      <c r="J184"/>
      <c r="K184"/>
      <c r="L184" s="21" t="s">
        <v>1677</v>
      </c>
      <c r="M184" t="s">
        <v>47</v>
      </c>
      <c r="N184">
        <v>1E-3</v>
      </c>
      <c r="O184" t="s">
        <v>42</v>
      </c>
      <c r="Q184"/>
      <c r="R184" s="27">
        <v>67</v>
      </c>
      <c r="S184" t="s">
        <v>43</v>
      </c>
      <c r="U184"/>
      <c r="W184"/>
      <c r="Y184"/>
      <c r="AA184"/>
      <c r="AB184"/>
      <c r="AD184"/>
      <c r="AF184"/>
      <c r="AH184"/>
    </row>
    <row r="185" spans="2:35">
      <c r="B185" t="s">
        <v>377</v>
      </c>
      <c r="C185" t="s">
        <v>378</v>
      </c>
      <c r="D185" t="s">
        <v>35</v>
      </c>
      <c r="E185">
        <v>1000</v>
      </c>
      <c r="F185" t="s">
        <v>53</v>
      </c>
      <c r="G185" t="s">
        <v>37</v>
      </c>
      <c r="H185" t="s">
        <v>38</v>
      </c>
      <c r="I185" t="s">
        <v>39</v>
      </c>
      <c r="J185"/>
      <c r="K185"/>
      <c r="L185" t="s">
        <v>379</v>
      </c>
      <c r="M185" t="s">
        <v>47</v>
      </c>
      <c r="N185">
        <v>1E-3</v>
      </c>
      <c r="O185" t="s">
        <v>42</v>
      </c>
      <c r="Q185"/>
      <c r="R185" s="27">
        <v>67</v>
      </c>
      <c r="S185" t="s">
        <v>43</v>
      </c>
      <c r="T185"/>
      <c r="U185"/>
      <c r="V185"/>
      <c r="W185"/>
      <c r="X185"/>
      <c r="Y185"/>
      <c r="Z185"/>
      <c r="AA185"/>
      <c r="AB185"/>
      <c r="AD185"/>
      <c r="AF185"/>
      <c r="AH185"/>
    </row>
    <row r="186" spans="2:35">
      <c r="B186" t="s">
        <v>380</v>
      </c>
      <c r="C186" t="s">
        <v>381</v>
      </c>
      <c r="D186" t="s">
        <v>89</v>
      </c>
      <c r="E186">
        <v>181.04</v>
      </c>
      <c r="F186" t="s">
        <v>53</v>
      </c>
      <c r="G186" t="s">
        <v>37</v>
      </c>
      <c r="H186" t="s">
        <v>38</v>
      </c>
      <c r="I186" t="s">
        <v>39</v>
      </c>
      <c r="J186"/>
      <c r="K186"/>
      <c r="L186" t="s">
        <v>112</v>
      </c>
      <c r="M186" t="s">
        <v>47</v>
      </c>
      <c r="N186">
        <v>1E-3</v>
      </c>
      <c r="O186" t="s">
        <v>42</v>
      </c>
      <c r="Q186">
        <v>2026</v>
      </c>
      <c r="R186" s="27">
        <v>250</v>
      </c>
      <c r="S186" t="s">
        <v>43</v>
      </c>
      <c r="U186"/>
      <c r="W186"/>
      <c r="Y186"/>
      <c r="AA186"/>
      <c r="AB186"/>
      <c r="AD186"/>
      <c r="AF186"/>
      <c r="AH186"/>
    </row>
    <row r="187" spans="2:35">
      <c r="B187" t="s">
        <v>264</v>
      </c>
      <c r="C187" t="s">
        <v>382</v>
      </c>
      <c r="D187" t="s">
        <v>89</v>
      </c>
      <c r="E187">
        <v>211.15</v>
      </c>
      <c r="F187" t="s">
        <v>266</v>
      </c>
      <c r="G187" t="s">
        <v>37</v>
      </c>
      <c r="H187" t="s">
        <v>38</v>
      </c>
      <c r="I187" t="s">
        <v>39</v>
      </c>
      <c r="J187"/>
      <c r="K187"/>
      <c r="L187" t="s">
        <v>112</v>
      </c>
      <c r="M187" t="s">
        <v>47</v>
      </c>
      <c r="N187">
        <v>1E-3</v>
      </c>
      <c r="O187" t="s">
        <v>42</v>
      </c>
      <c r="Q187">
        <v>2026</v>
      </c>
      <c r="R187" s="27">
        <v>250</v>
      </c>
      <c r="S187" t="s">
        <v>43</v>
      </c>
      <c r="U187"/>
      <c r="W187"/>
      <c r="Y187"/>
      <c r="AA187"/>
      <c r="AB187"/>
      <c r="AD187"/>
      <c r="AF187"/>
      <c r="AH187"/>
    </row>
    <row r="188" spans="2:35">
      <c r="B188" t="s">
        <v>313</v>
      </c>
      <c r="C188" t="s">
        <v>383</v>
      </c>
      <c r="D188" t="s">
        <v>35</v>
      </c>
      <c r="E188">
        <v>18.989999999999998</v>
      </c>
      <c r="F188" t="s">
        <v>53</v>
      </c>
      <c r="G188" t="s">
        <v>37</v>
      </c>
      <c r="H188" t="s">
        <v>38</v>
      </c>
      <c r="I188" t="s">
        <v>39</v>
      </c>
      <c r="J188"/>
      <c r="K188"/>
      <c r="L188" t="s">
        <v>337</v>
      </c>
      <c r="M188" t="s">
        <v>47</v>
      </c>
      <c r="N188">
        <v>1E-3</v>
      </c>
      <c r="O188" t="s">
        <v>42</v>
      </c>
      <c r="Q188">
        <v>2022</v>
      </c>
      <c r="R188" s="27">
        <v>250</v>
      </c>
      <c r="S188" t="s">
        <v>43</v>
      </c>
      <c r="U188"/>
      <c r="W188"/>
      <c r="Y188"/>
      <c r="AA188"/>
      <c r="AB188"/>
      <c r="AD188"/>
      <c r="AF188"/>
      <c r="AH188"/>
    </row>
    <row r="189" spans="2:35">
      <c r="B189" t="s">
        <v>384</v>
      </c>
      <c r="C189" t="s">
        <v>385</v>
      </c>
      <c r="D189" t="s">
        <v>35</v>
      </c>
      <c r="E189">
        <v>34.549999999999997</v>
      </c>
      <c r="F189" t="s">
        <v>36</v>
      </c>
      <c r="G189" t="s">
        <v>37</v>
      </c>
      <c r="H189" t="s">
        <v>38</v>
      </c>
      <c r="I189" t="s">
        <v>39</v>
      </c>
      <c r="J189"/>
      <c r="K189"/>
      <c r="L189" t="s">
        <v>112</v>
      </c>
      <c r="M189" t="s">
        <v>47</v>
      </c>
      <c r="N189">
        <v>1E-3</v>
      </c>
      <c r="O189" t="s">
        <v>42</v>
      </c>
      <c r="Q189">
        <v>2026</v>
      </c>
      <c r="R189" s="27">
        <v>250</v>
      </c>
      <c r="S189" t="s">
        <v>43</v>
      </c>
      <c r="U189"/>
      <c r="W189"/>
      <c r="Y189"/>
      <c r="AA189"/>
      <c r="AB189"/>
      <c r="AD189"/>
      <c r="AF189"/>
      <c r="AH189"/>
    </row>
    <row r="190" spans="2:35">
      <c r="B190" t="s">
        <v>386</v>
      </c>
      <c r="C190" t="s">
        <v>386</v>
      </c>
      <c r="D190" t="s">
        <v>35</v>
      </c>
      <c r="E190">
        <v>70.489999999999995</v>
      </c>
      <c r="F190" t="s">
        <v>53</v>
      </c>
      <c r="G190" t="s">
        <v>37</v>
      </c>
      <c r="H190" t="s">
        <v>38</v>
      </c>
      <c r="I190" t="s">
        <v>39</v>
      </c>
      <c r="J190"/>
      <c r="K190"/>
      <c r="L190" t="s">
        <v>54</v>
      </c>
      <c r="M190" t="s">
        <v>47</v>
      </c>
      <c r="N190">
        <v>1E-3</v>
      </c>
      <c r="O190" t="s">
        <v>42</v>
      </c>
      <c r="Q190">
        <v>2023</v>
      </c>
      <c r="R190" s="27">
        <v>75</v>
      </c>
      <c r="S190" t="s">
        <v>43</v>
      </c>
      <c r="U190"/>
      <c r="W190"/>
      <c r="Y190"/>
      <c r="AA190"/>
      <c r="AB190"/>
      <c r="AD190"/>
      <c r="AF190"/>
      <c r="AH190"/>
    </row>
    <row r="191" spans="2:35">
      <c r="B191" t="s">
        <v>387</v>
      </c>
      <c r="C191" t="s">
        <v>388</v>
      </c>
      <c r="D191" t="s">
        <v>35</v>
      </c>
      <c r="E191">
        <v>60.48</v>
      </c>
      <c r="F191" t="s">
        <v>36</v>
      </c>
      <c r="G191" t="s">
        <v>37</v>
      </c>
      <c r="H191" t="s">
        <v>38</v>
      </c>
      <c r="I191" t="s">
        <v>39</v>
      </c>
      <c r="J191"/>
      <c r="K191"/>
      <c r="L191" t="s">
        <v>54</v>
      </c>
      <c r="M191" t="s">
        <v>47</v>
      </c>
      <c r="N191">
        <v>1E-3</v>
      </c>
      <c r="O191" t="s">
        <v>42</v>
      </c>
      <c r="Q191">
        <v>2025</v>
      </c>
      <c r="R191" s="27">
        <v>75</v>
      </c>
      <c r="S191" t="s">
        <v>43</v>
      </c>
      <c r="U191"/>
      <c r="W191"/>
      <c r="Y191"/>
      <c r="AA191"/>
      <c r="AB191"/>
      <c r="AD191"/>
      <c r="AF191"/>
      <c r="AH191"/>
    </row>
    <row r="192" spans="2:35">
      <c r="B192" t="s">
        <v>389</v>
      </c>
      <c r="C192" t="s">
        <v>389</v>
      </c>
      <c r="D192" t="s">
        <v>35</v>
      </c>
      <c r="E192">
        <v>7250</v>
      </c>
      <c r="F192" t="s">
        <v>36</v>
      </c>
      <c r="G192" t="s">
        <v>37</v>
      </c>
      <c r="H192" t="s">
        <v>38</v>
      </c>
      <c r="I192" t="s">
        <v>39</v>
      </c>
      <c r="J192"/>
      <c r="K192"/>
      <c r="L192" s="23" t="s">
        <v>54</v>
      </c>
      <c r="M192" t="s">
        <v>47</v>
      </c>
      <c r="N192">
        <v>1E-3</v>
      </c>
      <c r="O192" t="s">
        <v>42</v>
      </c>
      <c r="Q192">
        <v>2026</v>
      </c>
      <c r="R192" s="27">
        <v>75</v>
      </c>
      <c r="S192" t="s">
        <v>43</v>
      </c>
      <c r="U192"/>
      <c r="W192"/>
      <c r="Y192"/>
      <c r="AA192"/>
      <c r="AB192"/>
      <c r="AD192"/>
      <c r="AF192"/>
      <c r="AH192"/>
    </row>
    <row r="193" spans="2:34">
      <c r="B193" t="s">
        <v>391</v>
      </c>
      <c r="C193" t="s">
        <v>392</v>
      </c>
      <c r="D193" t="s">
        <v>35</v>
      </c>
      <c r="E193">
        <v>1389.96</v>
      </c>
      <c r="F193" t="s">
        <v>36</v>
      </c>
      <c r="G193" t="s">
        <v>37</v>
      </c>
      <c r="H193" t="s">
        <v>38</v>
      </c>
      <c r="I193" t="s">
        <v>39</v>
      </c>
      <c r="J193"/>
      <c r="K193"/>
      <c r="L193" t="s">
        <v>50</v>
      </c>
      <c r="M193" t="s">
        <v>47</v>
      </c>
      <c r="N193">
        <v>1E-3</v>
      </c>
      <c r="O193" t="s">
        <v>42</v>
      </c>
      <c r="Q193">
        <v>2026</v>
      </c>
      <c r="R193" s="27">
        <v>75</v>
      </c>
      <c r="S193" t="s">
        <v>43</v>
      </c>
      <c r="U193"/>
      <c r="W193"/>
      <c r="Y193"/>
      <c r="AA193"/>
      <c r="AB193"/>
      <c r="AD193"/>
      <c r="AF193"/>
      <c r="AH193"/>
    </row>
    <row r="194" spans="2:34">
      <c r="B194" t="s">
        <v>63</v>
      </c>
      <c r="C194" t="s">
        <v>64</v>
      </c>
      <c r="D194" t="s">
        <v>35</v>
      </c>
      <c r="E194">
        <v>16.989999999999998</v>
      </c>
      <c r="F194" t="s">
        <v>53</v>
      </c>
      <c r="G194" t="s">
        <v>37</v>
      </c>
      <c r="H194" t="s">
        <v>38</v>
      </c>
      <c r="I194" t="s">
        <v>39</v>
      </c>
      <c r="J194"/>
      <c r="K194"/>
      <c r="L194" t="s">
        <v>54</v>
      </c>
      <c r="M194" t="s">
        <v>55</v>
      </c>
      <c r="N194">
        <v>1E-3</v>
      </c>
      <c r="O194" t="s">
        <v>42</v>
      </c>
      <c r="Q194">
        <v>2023</v>
      </c>
      <c r="R194" s="27">
        <v>75</v>
      </c>
      <c r="S194" t="s">
        <v>43</v>
      </c>
      <c r="U194"/>
      <c r="W194"/>
      <c r="Y194"/>
      <c r="AA194"/>
      <c r="AB194"/>
      <c r="AD194"/>
      <c r="AF194"/>
      <c r="AH194"/>
    </row>
    <row r="195" spans="2:34">
      <c r="B195" t="s">
        <v>395</v>
      </c>
      <c r="C195" t="s">
        <v>396</v>
      </c>
      <c r="D195" t="s">
        <v>35</v>
      </c>
      <c r="E195">
        <v>9.06</v>
      </c>
      <c r="F195" t="s">
        <v>53</v>
      </c>
      <c r="G195" t="s">
        <v>37</v>
      </c>
      <c r="H195" t="s">
        <v>38</v>
      </c>
      <c r="I195" t="s">
        <v>39</v>
      </c>
      <c r="J195"/>
      <c r="K195"/>
      <c r="L195" t="s">
        <v>50</v>
      </c>
      <c r="M195" t="s">
        <v>47</v>
      </c>
      <c r="N195">
        <v>1E-3</v>
      </c>
      <c r="O195" t="s">
        <v>42</v>
      </c>
      <c r="Q195">
        <v>2026</v>
      </c>
      <c r="R195" s="27">
        <v>75</v>
      </c>
      <c r="S195" t="s">
        <v>43</v>
      </c>
      <c r="U195"/>
      <c r="W195"/>
      <c r="Y195"/>
      <c r="AA195"/>
      <c r="AB195"/>
      <c r="AD195"/>
      <c r="AF195"/>
      <c r="AH195"/>
    </row>
    <row r="196" spans="2:34">
      <c r="B196" t="s">
        <v>397</v>
      </c>
      <c r="C196" t="s">
        <v>398</v>
      </c>
      <c r="D196" t="s">
        <v>35</v>
      </c>
      <c r="E196">
        <v>5.66</v>
      </c>
      <c r="F196" t="s">
        <v>53</v>
      </c>
      <c r="G196" t="s">
        <v>37</v>
      </c>
      <c r="H196" t="s">
        <v>38</v>
      </c>
      <c r="I196" t="s">
        <v>39</v>
      </c>
      <c r="J196"/>
      <c r="K196"/>
      <c r="L196" s="23" t="s">
        <v>54</v>
      </c>
      <c r="M196" t="s">
        <v>47</v>
      </c>
      <c r="N196">
        <v>1E-3</v>
      </c>
      <c r="O196" t="s">
        <v>42</v>
      </c>
      <c r="Q196">
        <v>2026</v>
      </c>
      <c r="R196" s="27">
        <v>75</v>
      </c>
      <c r="S196" t="s">
        <v>43</v>
      </c>
      <c r="U196"/>
      <c r="W196"/>
      <c r="Y196"/>
      <c r="AA196"/>
      <c r="AB196"/>
      <c r="AD196"/>
      <c r="AF196"/>
      <c r="AH196"/>
    </row>
    <row r="197" spans="2:34">
      <c r="B197" t="s">
        <v>400</v>
      </c>
      <c r="C197" t="s">
        <v>401</v>
      </c>
      <c r="D197" t="s">
        <v>35</v>
      </c>
      <c r="E197">
        <v>50.97</v>
      </c>
      <c r="F197" t="s">
        <v>53</v>
      </c>
      <c r="G197" t="s">
        <v>37</v>
      </c>
      <c r="H197" t="s">
        <v>38</v>
      </c>
      <c r="I197" t="s">
        <v>39</v>
      </c>
      <c r="J197"/>
      <c r="K197"/>
      <c r="L197" t="s">
        <v>50</v>
      </c>
      <c r="M197" t="s">
        <v>47</v>
      </c>
      <c r="N197">
        <v>1E-3</v>
      </c>
      <c r="O197" t="s">
        <v>42</v>
      </c>
      <c r="Q197">
        <v>2026</v>
      </c>
      <c r="R197" s="27">
        <v>75</v>
      </c>
      <c r="S197" t="s">
        <v>43</v>
      </c>
      <c r="U197"/>
      <c r="W197"/>
      <c r="Y197"/>
      <c r="AA197"/>
      <c r="AB197"/>
      <c r="AD197"/>
      <c r="AF197"/>
      <c r="AH197"/>
    </row>
    <row r="198" spans="2:34">
      <c r="B198" t="s">
        <v>397</v>
      </c>
      <c r="C198" t="s">
        <v>398</v>
      </c>
      <c r="D198" t="s">
        <v>35</v>
      </c>
      <c r="E198">
        <v>21.92</v>
      </c>
      <c r="F198" t="s">
        <v>53</v>
      </c>
      <c r="G198" t="s">
        <v>37</v>
      </c>
      <c r="H198" t="s">
        <v>38</v>
      </c>
      <c r="I198" t="s">
        <v>39</v>
      </c>
      <c r="J198"/>
      <c r="K198"/>
      <c r="L198" s="23" t="s">
        <v>54</v>
      </c>
      <c r="M198" t="s">
        <v>47</v>
      </c>
      <c r="N198">
        <v>1E-3</v>
      </c>
      <c r="O198" t="s">
        <v>42</v>
      </c>
      <c r="Q198">
        <v>2026</v>
      </c>
      <c r="R198" s="27">
        <v>75</v>
      </c>
      <c r="S198" t="s">
        <v>43</v>
      </c>
      <c r="U198"/>
      <c r="W198"/>
      <c r="Y198"/>
      <c r="AA198"/>
      <c r="AB198"/>
      <c r="AD198"/>
      <c r="AF198"/>
      <c r="AH198"/>
    </row>
    <row r="199" spans="2:34">
      <c r="B199" t="s">
        <v>402</v>
      </c>
      <c r="C199" t="s">
        <v>403</v>
      </c>
      <c r="D199" t="s">
        <v>35</v>
      </c>
      <c r="E199">
        <v>118.93</v>
      </c>
      <c r="F199" t="s">
        <v>53</v>
      </c>
      <c r="G199" t="s">
        <v>37</v>
      </c>
      <c r="H199" t="s">
        <v>38</v>
      </c>
      <c r="I199" t="s">
        <v>39</v>
      </c>
      <c r="J199"/>
      <c r="K199"/>
      <c r="L199" s="23" t="s">
        <v>54</v>
      </c>
      <c r="M199" t="s">
        <v>47</v>
      </c>
      <c r="N199">
        <v>1E-3</v>
      </c>
      <c r="O199" t="s">
        <v>42</v>
      </c>
      <c r="Q199">
        <v>2022</v>
      </c>
      <c r="R199" s="27">
        <v>75</v>
      </c>
      <c r="S199" t="s">
        <v>43</v>
      </c>
      <c r="U199"/>
      <c r="W199"/>
      <c r="Y199"/>
      <c r="AA199"/>
      <c r="AB199"/>
      <c r="AD199"/>
      <c r="AF199"/>
      <c r="AH199"/>
    </row>
    <row r="200" spans="2:34">
      <c r="B200" s="21" t="s">
        <v>1745</v>
      </c>
      <c r="C200" t="s">
        <v>406</v>
      </c>
      <c r="D200" t="s">
        <v>35</v>
      </c>
      <c r="E200">
        <v>4138.17</v>
      </c>
      <c r="F200" t="s">
        <v>36</v>
      </c>
      <c r="G200" t="s">
        <v>37</v>
      </c>
      <c r="H200" t="s">
        <v>38</v>
      </c>
      <c r="I200" t="s">
        <v>39</v>
      </c>
      <c r="J200"/>
      <c r="K200"/>
      <c r="L200" s="23" t="s">
        <v>54</v>
      </c>
      <c r="M200" t="s">
        <v>47</v>
      </c>
      <c r="N200">
        <v>1E-3</v>
      </c>
      <c r="O200" t="s">
        <v>42</v>
      </c>
      <c r="Q200">
        <v>2026</v>
      </c>
      <c r="R200" s="27">
        <v>75</v>
      </c>
      <c r="S200" t="s">
        <v>43</v>
      </c>
      <c r="U200"/>
      <c r="W200"/>
      <c r="Y200"/>
      <c r="AA200"/>
      <c r="AB200"/>
      <c r="AD200"/>
      <c r="AF200"/>
      <c r="AH200"/>
    </row>
    <row r="201" spans="2:34">
      <c r="B201" t="s">
        <v>408</v>
      </c>
      <c r="C201" t="s">
        <v>408</v>
      </c>
      <c r="D201" t="s">
        <v>35</v>
      </c>
      <c r="E201">
        <v>22174.53</v>
      </c>
      <c r="F201" t="s">
        <v>266</v>
      </c>
      <c r="G201" t="s">
        <v>37</v>
      </c>
      <c r="H201" t="s">
        <v>38</v>
      </c>
      <c r="I201" t="s">
        <v>39</v>
      </c>
      <c r="J201"/>
      <c r="K201"/>
      <c r="L201" t="s">
        <v>50</v>
      </c>
      <c r="M201" t="s">
        <v>47</v>
      </c>
      <c r="N201">
        <v>1E-3</v>
      </c>
      <c r="O201" t="s">
        <v>42</v>
      </c>
      <c r="Q201">
        <v>2026</v>
      </c>
      <c r="R201" s="27">
        <v>75</v>
      </c>
      <c r="S201" t="s">
        <v>43</v>
      </c>
      <c r="U201"/>
      <c r="W201"/>
      <c r="Y201"/>
      <c r="AA201"/>
      <c r="AB201"/>
      <c r="AD201"/>
      <c r="AF201"/>
      <c r="AH201"/>
    </row>
    <row r="202" spans="2:34">
      <c r="B202" t="s">
        <v>409</v>
      </c>
      <c r="C202" t="s">
        <v>409</v>
      </c>
      <c r="D202" t="s">
        <v>35</v>
      </c>
      <c r="E202">
        <v>1250</v>
      </c>
      <c r="F202" t="s">
        <v>53</v>
      </c>
      <c r="G202" t="s">
        <v>37</v>
      </c>
      <c r="H202" t="s">
        <v>38</v>
      </c>
      <c r="I202" t="s">
        <v>39</v>
      </c>
      <c r="J202"/>
      <c r="K202"/>
      <c r="L202" t="s">
        <v>50</v>
      </c>
      <c r="M202" t="s">
        <v>47</v>
      </c>
      <c r="N202">
        <v>1E-3</v>
      </c>
      <c r="O202" t="s">
        <v>42</v>
      </c>
      <c r="Q202">
        <v>2023</v>
      </c>
      <c r="R202" s="27">
        <v>75</v>
      </c>
      <c r="S202" t="s">
        <v>43</v>
      </c>
      <c r="U202"/>
      <c r="W202"/>
      <c r="Y202"/>
      <c r="AA202"/>
      <c r="AB202"/>
      <c r="AD202"/>
      <c r="AF202"/>
      <c r="AH202"/>
    </row>
    <row r="203" spans="2:34">
      <c r="B203" s="21" t="s">
        <v>1749</v>
      </c>
      <c r="C203" t="s">
        <v>411</v>
      </c>
      <c r="D203" t="s">
        <v>35</v>
      </c>
      <c r="E203">
        <v>585</v>
      </c>
      <c r="F203" t="s">
        <v>53</v>
      </c>
      <c r="G203" t="s">
        <v>37</v>
      </c>
      <c r="H203" t="s">
        <v>38</v>
      </c>
      <c r="I203" t="s">
        <v>39</v>
      </c>
      <c r="J203"/>
      <c r="K203"/>
      <c r="L203" t="s">
        <v>50</v>
      </c>
      <c r="M203" t="s">
        <v>47</v>
      </c>
      <c r="N203">
        <v>1E-3</v>
      </c>
      <c r="O203" t="s">
        <v>42</v>
      </c>
      <c r="Q203">
        <v>2022</v>
      </c>
      <c r="R203" s="27">
        <v>75</v>
      </c>
      <c r="S203" t="s">
        <v>43</v>
      </c>
      <c r="U203"/>
      <c r="W203"/>
      <c r="Y203"/>
      <c r="AA203"/>
      <c r="AB203"/>
      <c r="AD203"/>
      <c r="AF203"/>
      <c r="AH203"/>
    </row>
  </sheetData>
  <mergeCells count="12">
    <mergeCell ref="A1:AI1"/>
    <mergeCell ref="R2:S2"/>
    <mergeCell ref="AF2:AG2"/>
    <mergeCell ref="A2:D2"/>
    <mergeCell ref="K2:Q2"/>
    <mergeCell ref="Z2:AB2"/>
    <mergeCell ref="AH2:AI2"/>
    <mergeCell ref="V2:W2"/>
    <mergeCell ref="T2:U2"/>
    <mergeCell ref="E2:J2"/>
    <mergeCell ref="X2:Y2"/>
    <mergeCell ref="AC2:AE2"/>
  </mergeCells>
  <phoneticPr fontId="13" type="noConversion"/>
  <dataValidations count="8">
    <dataValidation type="list" allowBlank="1" showInputMessage="1" showErrorMessage="1" sqref="AE8:AE1048576" xr:uid="{00000000-0002-0000-0000-000000000000}">
      <formula1>"tPFCs,kgPFCs"</formula1>
    </dataValidation>
    <dataValidation type="list" allowBlank="1" showInputMessage="1" showErrorMessage="1" sqref="Y8:Y1048576" xr:uid="{00000000-0002-0000-0000-000001000000}">
      <formula1>"tN₂O,kgN₂O,gN₂O"</formula1>
    </dataValidation>
    <dataValidation type="list" allowBlank="1" showInputMessage="1" showErrorMessage="1" sqref="U8:U1048576" xr:uid="{00000000-0002-0000-0000-000002000000}">
      <formula1>"tCO₂,kgCO₂,gCO₂"</formula1>
    </dataValidation>
    <dataValidation type="list" allowBlank="1" showInputMessage="1" showErrorMessage="1" sqref="AI8:AI1048576" xr:uid="{00000000-0002-0000-0000-000003000000}">
      <formula1>"tNF₃,kgNF₃"</formula1>
    </dataValidation>
    <dataValidation type="list" allowBlank="1" showInputMessage="1" showErrorMessage="1" sqref="S8:S1048576" xr:uid="{00000000-0002-0000-0000-000004000000}">
      <formula1>"tCO₂e,kgCO₂e,gCO₂e"</formula1>
    </dataValidation>
    <dataValidation type="list" allowBlank="1" showInputMessage="1" showErrorMessage="1" sqref="W8:W1048576" xr:uid="{00000000-0002-0000-0000-000005000000}">
      <formula1>"tCH₄,kgCH₄,gCH₄"</formula1>
    </dataValidation>
    <dataValidation type="list" allowBlank="1" showInputMessage="1" showErrorMessage="1" sqref="AG8:AG1048576" xr:uid="{00000000-0002-0000-0000-000006000000}">
      <formula1>"tSF₆,kgSF₆,"</formula1>
    </dataValidation>
    <dataValidation type="list" allowBlank="1" showInputMessage="1" showErrorMessage="1" sqref="AB8:AB1048576" xr:uid="{00000000-0002-0000-0000-000007000000}">
      <formula1>"tHFCs,kgHFCs"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74"/>
  <sheetViews>
    <sheetView topLeftCell="G1" workbookViewId="0">
      <selection activeCell="I3" sqref="I3"/>
    </sheetView>
  </sheetViews>
  <sheetFormatPr baseColWidth="10" defaultColWidth="9" defaultRowHeight="16"/>
  <cols>
    <col min="1" max="1" width="23.1640625" style="3" customWidth="1"/>
    <col min="2" max="2" width="7.83203125" style="3" customWidth="1"/>
    <col min="3" max="3" width="21.5" style="3" customWidth="1"/>
    <col min="4" max="4" width="8.1640625" style="3" customWidth="1"/>
    <col min="5" max="5" width="26.1640625" style="3" customWidth="1"/>
    <col min="6" max="6" width="7.33203125" style="20" customWidth="1"/>
    <col min="7" max="7" width="38.83203125" style="20" customWidth="1"/>
    <col min="8" max="8" width="6.33203125" style="20" customWidth="1"/>
    <col min="9" max="9" width="12.5" style="20" customWidth="1"/>
    <col min="10" max="10" width="7.6640625" style="20" customWidth="1"/>
    <col min="11" max="11" width="17.33203125" style="20" customWidth="1"/>
    <col min="12" max="12" width="31.33203125" style="20" customWidth="1"/>
    <col min="13" max="13" width="28.6640625" style="20" customWidth="1"/>
  </cols>
  <sheetData>
    <row r="1" spans="1:13" s="2" customFormat="1" ht="22" customHeight="1">
      <c r="A1" s="4" t="s">
        <v>412</v>
      </c>
      <c r="B1" s="5"/>
      <c r="C1" s="4" t="s">
        <v>8</v>
      </c>
      <c r="D1" s="5"/>
      <c r="E1" s="4" t="s">
        <v>413</v>
      </c>
      <c r="G1" s="4" t="s">
        <v>414</v>
      </c>
      <c r="H1" s="5"/>
      <c r="I1" s="1" t="s">
        <v>415</v>
      </c>
      <c r="K1" s="4" t="s">
        <v>416</v>
      </c>
      <c r="M1" s="1" t="s">
        <v>417</v>
      </c>
    </row>
    <row r="2" spans="1:13">
      <c r="A2" s="6" t="s">
        <v>418</v>
      </c>
      <c r="C2" s="3" t="s">
        <v>419</v>
      </c>
      <c r="E2" s="7" t="s">
        <v>420</v>
      </c>
      <c r="G2" t="s">
        <v>421</v>
      </c>
      <c r="I2" t="s">
        <v>422</v>
      </c>
      <c r="K2" t="s">
        <v>423</v>
      </c>
      <c r="M2" t="s">
        <v>424</v>
      </c>
    </row>
    <row r="3" spans="1:13">
      <c r="A3" s="6" t="s">
        <v>425</v>
      </c>
      <c r="C3" s="3" t="s">
        <v>426</v>
      </c>
      <c r="E3" s="7" t="s">
        <v>427</v>
      </c>
      <c r="G3" t="s">
        <v>428</v>
      </c>
      <c r="I3" t="s">
        <v>37</v>
      </c>
      <c r="K3" t="s">
        <v>42</v>
      </c>
    </row>
    <row r="4" spans="1:13">
      <c r="A4" s="6" t="s">
        <v>429</v>
      </c>
      <c r="C4" s="3" t="s">
        <v>430</v>
      </c>
      <c r="E4" s="7" t="s">
        <v>431</v>
      </c>
      <c r="G4" t="s">
        <v>432</v>
      </c>
      <c r="I4" t="s">
        <v>433</v>
      </c>
      <c r="K4" t="s">
        <v>434</v>
      </c>
    </row>
    <row r="5" spans="1:13">
      <c r="A5" s="6" t="s">
        <v>435</v>
      </c>
      <c r="C5" s="3" t="s">
        <v>436</v>
      </c>
      <c r="E5" s="7" t="s">
        <v>437</v>
      </c>
      <c r="G5" t="s">
        <v>438</v>
      </c>
      <c r="K5" t="s">
        <v>439</v>
      </c>
    </row>
    <row r="6" spans="1:13">
      <c r="A6" s="6" t="s">
        <v>440</v>
      </c>
      <c r="C6" s="3" t="s">
        <v>441</v>
      </c>
      <c r="E6" s="7" t="s">
        <v>442</v>
      </c>
      <c r="G6" t="s">
        <v>443</v>
      </c>
      <c r="K6" t="s">
        <v>444</v>
      </c>
    </row>
    <row r="7" spans="1:13">
      <c r="A7" s="6" t="s">
        <v>445</v>
      </c>
      <c r="C7" s="3" t="s">
        <v>446</v>
      </c>
      <c r="E7" s="7" t="s">
        <v>447</v>
      </c>
      <c r="G7" t="s">
        <v>448</v>
      </c>
      <c r="K7" t="s">
        <v>449</v>
      </c>
    </row>
    <row r="8" spans="1:13">
      <c r="A8" s="6" t="s">
        <v>450</v>
      </c>
      <c r="C8" s="3" t="s">
        <v>451</v>
      </c>
      <c r="E8" s="3" t="s">
        <v>452</v>
      </c>
      <c r="G8" t="s">
        <v>453</v>
      </c>
    </row>
    <row r="9" spans="1:13">
      <c r="A9" s="6" t="s">
        <v>454</v>
      </c>
      <c r="C9" s="3" t="s">
        <v>455</v>
      </c>
      <c r="E9" s="7" t="s">
        <v>456</v>
      </c>
      <c r="G9" t="s">
        <v>457</v>
      </c>
    </row>
    <row r="10" spans="1:13">
      <c r="A10" s="6" t="s">
        <v>458</v>
      </c>
      <c r="C10" s="3" t="s">
        <v>459</v>
      </c>
      <c r="E10" s="7" t="s">
        <v>460</v>
      </c>
      <c r="G10" t="s">
        <v>461</v>
      </c>
    </row>
    <row r="11" spans="1:13">
      <c r="A11" s="6" t="s">
        <v>462</v>
      </c>
      <c r="C11" s="3" t="s">
        <v>463</v>
      </c>
      <c r="E11" s="7" t="s">
        <v>464</v>
      </c>
      <c r="G11" t="s">
        <v>465</v>
      </c>
    </row>
    <row r="12" spans="1:13">
      <c r="A12" s="6" t="s">
        <v>466</v>
      </c>
      <c r="C12" s="7" t="s">
        <v>467</v>
      </c>
      <c r="E12" s="7" t="s">
        <v>468</v>
      </c>
      <c r="G12" t="s">
        <v>35</v>
      </c>
    </row>
    <row r="13" spans="1:13">
      <c r="A13" s="6" t="s">
        <v>53</v>
      </c>
      <c r="C13" s="7" t="s">
        <v>469</v>
      </c>
      <c r="E13" s="7" t="s">
        <v>470</v>
      </c>
      <c r="G13" t="s">
        <v>471</v>
      </c>
    </row>
    <row r="14" spans="1:13">
      <c r="A14" s="6" t="s">
        <v>472</v>
      </c>
      <c r="C14" s="7" t="s">
        <v>473</v>
      </c>
      <c r="E14" s="3" t="s">
        <v>474</v>
      </c>
      <c r="G14" t="s">
        <v>475</v>
      </c>
    </row>
    <row r="15" spans="1:13">
      <c r="A15" s="6" t="s">
        <v>476</v>
      </c>
      <c r="C15" s="7" t="s">
        <v>477</v>
      </c>
      <c r="E15" s="3" t="s">
        <v>478</v>
      </c>
      <c r="G15" t="s">
        <v>479</v>
      </c>
    </row>
    <row r="16" spans="1:13">
      <c r="A16" s="6" t="s">
        <v>480</v>
      </c>
      <c r="C16" s="7" t="s">
        <v>481</v>
      </c>
      <c r="E16" s="3" t="s">
        <v>482</v>
      </c>
      <c r="G16" t="s">
        <v>483</v>
      </c>
    </row>
    <row r="17" spans="1:7">
      <c r="A17" s="6" t="s">
        <v>484</v>
      </c>
      <c r="C17" s="7" t="s">
        <v>485</v>
      </c>
      <c r="E17" s="7" t="s">
        <v>486</v>
      </c>
      <c r="G17" t="s">
        <v>89</v>
      </c>
    </row>
    <row r="18" spans="1:7">
      <c r="A18" s="6" t="s">
        <v>487</v>
      </c>
      <c r="C18" s="8" t="s">
        <v>488</v>
      </c>
      <c r="E18" s="7" t="s">
        <v>489</v>
      </c>
      <c r="G18" t="s">
        <v>490</v>
      </c>
    </row>
    <row r="19" spans="1:7">
      <c r="A19" s="6" t="s">
        <v>491</v>
      </c>
      <c r="C19" s="7" t="s">
        <v>492</v>
      </c>
      <c r="E19" s="7" t="s">
        <v>493</v>
      </c>
      <c r="G19" t="s">
        <v>494</v>
      </c>
    </row>
    <row r="20" spans="1:7">
      <c r="A20" s="6" t="s">
        <v>495</v>
      </c>
      <c r="C20" s="7" t="s">
        <v>496</v>
      </c>
      <c r="E20" s="7" t="s">
        <v>497</v>
      </c>
      <c r="G20" t="s">
        <v>498</v>
      </c>
    </row>
    <row r="21" spans="1:7">
      <c r="A21" s="6" t="s">
        <v>499</v>
      </c>
      <c r="C21" s="7" t="s">
        <v>500</v>
      </c>
      <c r="E21" s="7" t="s">
        <v>501</v>
      </c>
      <c r="G21" t="s">
        <v>502</v>
      </c>
    </row>
    <row r="22" spans="1:7">
      <c r="A22" s="6" t="s">
        <v>503</v>
      </c>
      <c r="C22" s="8" t="s">
        <v>504</v>
      </c>
      <c r="E22" s="7" t="s">
        <v>505</v>
      </c>
      <c r="G22" t="s">
        <v>506</v>
      </c>
    </row>
    <row r="23" spans="1:7">
      <c r="A23" s="6" t="s">
        <v>507</v>
      </c>
      <c r="C23" s="7" t="s">
        <v>508</v>
      </c>
      <c r="E23" s="8" t="s">
        <v>509</v>
      </c>
      <c r="G23" t="s">
        <v>510</v>
      </c>
    </row>
    <row r="24" spans="1:7">
      <c r="A24" s="6" t="s">
        <v>511</v>
      </c>
      <c r="C24" s="7" t="s">
        <v>512</v>
      </c>
      <c r="G24" t="s">
        <v>513</v>
      </c>
    </row>
    <row r="25" spans="1:7">
      <c r="A25" s="6" t="s">
        <v>514</v>
      </c>
      <c r="C25" s="7" t="s">
        <v>515</v>
      </c>
      <c r="G25" t="s">
        <v>516</v>
      </c>
    </row>
    <row r="26" spans="1:7">
      <c r="A26" s="6" t="s">
        <v>517</v>
      </c>
      <c r="C26" s="7" t="s">
        <v>518</v>
      </c>
      <c r="G26" t="s">
        <v>519</v>
      </c>
    </row>
    <row r="27" spans="1:7">
      <c r="A27" s="6" t="s">
        <v>520</v>
      </c>
      <c r="C27" s="3" t="s">
        <v>521</v>
      </c>
    </row>
    <row r="28" spans="1:7">
      <c r="A28" s="6" t="s">
        <v>522</v>
      </c>
      <c r="C28" s="3" t="s">
        <v>523</v>
      </c>
    </row>
    <row r="29" spans="1:7">
      <c r="A29" s="6" t="s">
        <v>524</v>
      </c>
      <c r="C29" s="7" t="s">
        <v>525</v>
      </c>
    </row>
    <row r="30" spans="1:7">
      <c r="A30" s="6" t="s">
        <v>526</v>
      </c>
      <c r="C30" s="3" t="s">
        <v>527</v>
      </c>
    </row>
    <row r="31" spans="1:7">
      <c r="A31" s="6" t="s">
        <v>528</v>
      </c>
      <c r="C31" s="7" t="s">
        <v>529</v>
      </c>
    </row>
    <row r="32" spans="1:7">
      <c r="A32" s="6" t="s">
        <v>530</v>
      </c>
      <c r="C32" s="8" t="s">
        <v>531</v>
      </c>
    </row>
    <row r="33" spans="1:3">
      <c r="A33" s="6" t="s">
        <v>532</v>
      </c>
      <c r="C33" s="8" t="s">
        <v>533</v>
      </c>
    </row>
    <row r="34" spans="1:3">
      <c r="A34" s="6" t="s">
        <v>534</v>
      </c>
      <c r="C34" s="3" t="s">
        <v>535</v>
      </c>
    </row>
    <row r="35" spans="1:3">
      <c r="A35" s="6" t="s">
        <v>536</v>
      </c>
      <c r="C35" s="7" t="s">
        <v>537</v>
      </c>
    </row>
    <row r="36" spans="1:3">
      <c r="A36" s="6" t="s">
        <v>538</v>
      </c>
      <c r="C36" s="7" t="s">
        <v>539</v>
      </c>
    </row>
    <row r="37" spans="1:3">
      <c r="A37" s="6" t="s">
        <v>540</v>
      </c>
      <c r="C37" s="7" t="s">
        <v>541</v>
      </c>
    </row>
    <row r="38" spans="1:3">
      <c r="A38" s="6" t="s">
        <v>542</v>
      </c>
      <c r="C38" s="7" t="s">
        <v>543</v>
      </c>
    </row>
    <row r="39" spans="1:3">
      <c r="A39" s="6" t="s">
        <v>544</v>
      </c>
      <c r="C39" s="3" t="s">
        <v>545</v>
      </c>
    </row>
    <row r="40" spans="1:3">
      <c r="A40" s="6" t="s">
        <v>546</v>
      </c>
    </row>
    <row r="41" spans="1:3">
      <c r="A41" s="6" t="s">
        <v>547</v>
      </c>
    </row>
    <row r="42" spans="1:3">
      <c r="A42" s="6" t="s">
        <v>548</v>
      </c>
    </row>
    <row r="43" spans="1:3">
      <c r="A43" s="6" t="s">
        <v>549</v>
      </c>
    </row>
    <row r="44" spans="1:3">
      <c r="A44" s="6" t="s">
        <v>550</v>
      </c>
    </row>
    <row r="45" spans="1:3">
      <c r="A45" s="6" t="s">
        <v>551</v>
      </c>
    </row>
    <row r="46" spans="1:3">
      <c r="A46" s="6" t="s">
        <v>552</v>
      </c>
    </row>
    <row r="47" spans="1:3">
      <c r="A47" s="6" t="s">
        <v>553</v>
      </c>
    </row>
    <row r="48" spans="1:3">
      <c r="A48" s="6" t="s">
        <v>36</v>
      </c>
    </row>
    <row r="49" spans="1:1">
      <c r="A49" s="6" t="s">
        <v>554</v>
      </c>
    </row>
    <row r="50" spans="1:1">
      <c r="A50" s="6" t="s">
        <v>555</v>
      </c>
    </row>
    <row r="51" spans="1:1">
      <c r="A51" s="6" t="s">
        <v>556</v>
      </c>
    </row>
    <row r="52" spans="1:1">
      <c r="A52" s="6" t="s">
        <v>557</v>
      </c>
    </row>
    <row r="53" spans="1:1">
      <c r="A53" s="6" t="s">
        <v>558</v>
      </c>
    </row>
    <row r="54" spans="1:1">
      <c r="A54" s="6" t="s">
        <v>559</v>
      </c>
    </row>
    <row r="55" spans="1:1">
      <c r="A55" s="6" t="s">
        <v>560</v>
      </c>
    </row>
    <row r="56" spans="1:1">
      <c r="A56" s="6" t="s">
        <v>561</v>
      </c>
    </row>
    <row r="57" spans="1:1">
      <c r="A57" s="6" t="s">
        <v>562</v>
      </c>
    </row>
    <row r="58" spans="1:1">
      <c r="A58" s="6" t="s">
        <v>563</v>
      </c>
    </row>
    <row r="59" spans="1:1">
      <c r="A59" s="6" t="s">
        <v>564</v>
      </c>
    </row>
    <row r="60" spans="1:1">
      <c r="A60" s="6" t="s">
        <v>565</v>
      </c>
    </row>
    <row r="61" spans="1:1">
      <c r="A61" s="6" t="s">
        <v>566</v>
      </c>
    </row>
    <row r="62" spans="1:1">
      <c r="A62" s="6" t="s">
        <v>567</v>
      </c>
    </row>
    <row r="63" spans="1:1">
      <c r="A63" s="6" t="s">
        <v>568</v>
      </c>
    </row>
    <row r="64" spans="1:1">
      <c r="A64" s="6" t="s">
        <v>569</v>
      </c>
    </row>
    <row r="65" spans="1:1">
      <c r="A65" s="6" t="s">
        <v>570</v>
      </c>
    </row>
    <row r="66" spans="1:1">
      <c r="A66" s="6" t="s">
        <v>571</v>
      </c>
    </row>
    <row r="67" spans="1:1">
      <c r="A67" s="6" t="s">
        <v>572</v>
      </c>
    </row>
    <row r="68" spans="1:1">
      <c r="A68" s="6" t="s">
        <v>573</v>
      </c>
    </row>
    <row r="69" spans="1:1">
      <c r="A69" s="6" t="s">
        <v>574</v>
      </c>
    </row>
    <row r="70" spans="1:1">
      <c r="A70" s="6" t="s">
        <v>575</v>
      </c>
    </row>
    <row r="71" spans="1:1">
      <c r="A71" s="6" t="s">
        <v>576</v>
      </c>
    </row>
    <row r="72" spans="1:1">
      <c r="A72" s="6" t="s">
        <v>577</v>
      </c>
    </row>
    <row r="73" spans="1:1">
      <c r="A73" s="6" t="s">
        <v>578</v>
      </c>
    </row>
    <row r="74" spans="1:1">
      <c r="A74" s="6" t="s">
        <v>579</v>
      </c>
    </row>
    <row r="75" spans="1:1">
      <c r="A75" s="6" t="s">
        <v>580</v>
      </c>
    </row>
    <row r="76" spans="1:1">
      <c r="A76" s="6" t="s">
        <v>581</v>
      </c>
    </row>
    <row r="77" spans="1:1">
      <c r="A77" s="6" t="s">
        <v>582</v>
      </c>
    </row>
    <row r="78" spans="1:1">
      <c r="A78" s="6" t="s">
        <v>583</v>
      </c>
    </row>
    <row r="79" spans="1:1">
      <c r="A79" s="6" t="s">
        <v>584</v>
      </c>
    </row>
    <row r="80" spans="1:1">
      <c r="A80" s="6" t="s">
        <v>585</v>
      </c>
    </row>
    <row r="81" spans="1:1">
      <c r="A81" s="6" t="s">
        <v>586</v>
      </c>
    </row>
    <row r="82" spans="1:1">
      <c r="A82" s="6" t="s">
        <v>587</v>
      </c>
    </row>
    <row r="83" spans="1:1">
      <c r="A83" s="6" t="s">
        <v>588</v>
      </c>
    </row>
    <row r="84" spans="1:1">
      <c r="A84" s="6" t="s">
        <v>589</v>
      </c>
    </row>
    <row r="85" spans="1:1">
      <c r="A85" s="6" t="s">
        <v>590</v>
      </c>
    </row>
    <row r="86" spans="1:1">
      <c r="A86" s="6" t="s">
        <v>591</v>
      </c>
    </row>
    <row r="87" spans="1:1">
      <c r="A87" s="6" t="s">
        <v>592</v>
      </c>
    </row>
    <row r="88" spans="1:1">
      <c r="A88" s="6" t="s">
        <v>593</v>
      </c>
    </row>
    <row r="89" spans="1:1">
      <c r="A89" s="6" t="s">
        <v>594</v>
      </c>
    </row>
    <row r="90" spans="1:1">
      <c r="A90" s="6" t="s">
        <v>595</v>
      </c>
    </row>
    <row r="91" spans="1:1">
      <c r="A91" s="6" t="s">
        <v>596</v>
      </c>
    </row>
    <row r="92" spans="1:1">
      <c r="A92" s="6" t="s">
        <v>597</v>
      </c>
    </row>
    <row r="93" spans="1:1">
      <c r="A93" s="6" t="s">
        <v>598</v>
      </c>
    </row>
    <row r="94" spans="1:1">
      <c r="A94" s="6" t="s">
        <v>599</v>
      </c>
    </row>
    <row r="95" spans="1:1">
      <c r="A95" s="6" t="s">
        <v>600</v>
      </c>
    </row>
    <row r="96" spans="1:1">
      <c r="A96" s="6" t="s">
        <v>601</v>
      </c>
    </row>
    <row r="97" spans="1:1">
      <c r="A97" s="6" t="s">
        <v>602</v>
      </c>
    </row>
    <row r="98" spans="1:1">
      <c r="A98" s="6" t="s">
        <v>603</v>
      </c>
    </row>
    <row r="99" spans="1:1">
      <c r="A99" s="6" t="s">
        <v>604</v>
      </c>
    </row>
    <row r="100" spans="1:1">
      <c r="A100" s="6" t="s">
        <v>605</v>
      </c>
    </row>
    <row r="101" spans="1:1">
      <c r="A101" s="6" t="s">
        <v>606</v>
      </c>
    </row>
    <row r="102" spans="1:1">
      <c r="A102" s="6" t="s">
        <v>607</v>
      </c>
    </row>
    <row r="103" spans="1:1">
      <c r="A103" s="6" t="s">
        <v>608</v>
      </c>
    </row>
    <row r="104" spans="1:1">
      <c r="A104" s="6" t="s">
        <v>609</v>
      </c>
    </row>
    <row r="105" spans="1:1">
      <c r="A105" s="6" t="s">
        <v>610</v>
      </c>
    </row>
    <row r="106" spans="1:1">
      <c r="A106" s="6" t="s">
        <v>611</v>
      </c>
    </row>
    <row r="107" spans="1:1">
      <c r="A107" s="6" t="s">
        <v>612</v>
      </c>
    </row>
    <row r="108" spans="1:1">
      <c r="A108" s="6" t="s">
        <v>613</v>
      </c>
    </row>
    <row r="109" spans="1:1">
      <c r="A109" s="6" t="s">
        <v>614</v>
      </c>
    </row>
    <row r="110" spans="1:1">
      <c r="A110" s="6" t="s">
        <v>615</v>
      </c>
    </row>
    <row r="111" spans="1:1">
      <c r="A111" s="6" t="s">
        <v>616</v>
      </c>
    </row>
    <row r="112" spans="1:1">
      <c r="A112" s="6" t="s">
        <v>617</v>
      </c>
    </row>
    <row r="113" spans="1:1">
      <c r="A113" s="6" t="s">
        <v>618</v>
      </c>
    </row>
    <row r="114" spans="1:1">
      <c r="A114" s="6" t="s">
        <v>619</v>
      </c>
    </row>
    <row r="115" spans="1:1">
      <c r="A115" s="6" t="s">
        <v>620</v>
      </c>
    </row>
    <row r="116" spans="1:1">
      <c r="A116" s="6" t="s">
        <v>621</v>
      </c>
    </row>
    <row r="117" spans="1:1">
      <c r="A117" s="6" t="s">
        <v>622</v>
      </c>
    </row>
    <row r="118" spans="1:1">
      <c r="A118" s="6" t="s">
        <v>623</v>
      </c>
    </row>
    <row r="119" spans="1:1">
      <c r="A119" s="6" t="s">
        <v>624</v>
      </c>
    </row>
    <row r="120" spans="1:1">
      <c r="A120" s="6" t="s">
        <v>625</v>
      </c>
    </row>
    <row r="121" spans="1:1">
      <c r="A121" s="6" t="s">
        <v>626</v>
      </c>
    </row>
    <row r="122" spans="1:1">
      <c r="A122" s="6" t="s">
        <v>627</v>
      </c>
    </row>
    <row r="123" spans="1:1">
      <c r="A123" s="6" t="s">
        <v>628</v>
      </c>
    </row>
    <row r="124" spans="1:1">
      <c r="A124" s="6" t="s">
        <v>629</v>
      </c>
    </row>
    <row r="125" spans="1:1">
      <c r="A125" s="6" t="s">
        <v>630</v>
      </c>
    </row>
    <row r="126" spans="1:1">
      <c r="A126" s="6" t="s">
        <v>631</v>
      </c>
    </row>
    <row r="127" spans="1:1">
      <c r="A127" s="6" t="s">
        <v>632</v>
      </c>
    </row>
    <row r="128" spans="1:1">
      <c r="A128" s="6" t="s">
        <v>633</v>
      </c>
    </row>
    <row r="129" spans="1:1">
      <c r="A129" s="6" t="s">
        <v>634</v>
      </c>
    </row>
    <row r="130" spans="1:1">
      <c r="A130" s="6" t="s">
        <v>635</v>
      </c>
    </row>
    <row r="131" spans="1:1">
      <c r="A131" s="6" t="s">
        <v>636</v>
      </c>
    </row>
    <row r="132" spans="1:1">
      <c r="A132" s="6" t="s">
        <v>637</v>
      </c>
    </row>
    <row r="133" spans="1:1">
      <c r="A133" s="6" t="s">
        <v>638</v>
      </c>
    </row>
    <row r="134" spans="1:1">
      <c r="A134" s="6" t="s">
        <v>639</v>
      </c>
    </row>
    <row r="135" spans="1:1">
      <c r="A135" s="6" t="s">
        <v>640</v>
      </c>
    </row>
    <row r="136" spans="1:1">
      <c r="A136" s="6" t="s">
        <v>641</v>
      </c>
    </row>
    <row r="137" spans="1:1">
      <c r="A137" s="6" t="s">
        <v>642</v>
      </c>
    </row>
    <row r="138" spans="1:1">
      <c r="A138" s="6" t="s">
        <v>643</v>
      </c>
    </row>
    <row r="139" spans="1:1">
      <c r="A139" s="6" t="s">
        <v>644</v>
      </c>
    </row>
    <row r="140" spans="1:1">
      <c r="A140" s="6" t="s">
        <v>645</v>
      </c>
    </row>
    <row r="141" spans="1:1">
      <c r="A141" s="6" t="s">
        <v>646</v>
      </c>
    </row>
    <row r="142" spans="1:1">
      <c r="A142" s="6" t="s">
        <v>647</v>
      </c>
    </row>
    <row r="143" spans="1:1">
      <c r="A143" s="6" t="s">
        <v>648</v>
      </c>
    </row>
    <row r="144" spans="1:1">
      <c r="A144" s="6" t="s">
        <v>649</v>
      </c>
    </row>
    <row r="145" spans="1:1">
      <c r="A145" s="6" t="s">
        <v>650</v>
      </c>
    </row>
    <row r="146" spans="1:1">
      <c r="A146" s="6" t="s">
        <v>651</v>
      </c>
    </row>
    <row r="147" spans="1:1">
      <c r="A147" s="6" t="s">
        <v>652</v>
      </c>
    </row>
    <row r="148" spans="1:1">
      <c r="A148" s="6" t="s">
        <v>653</v>
      </c>
    </row>
    <row r="149" spans="1:1">
      <c r="A149" s="6" t="s">
        <v>654</v>
      </c>
    </row>
    <row r="150" spans="1:1">
      <c r="A150" s="6" t="s">
        <v>655</v>
      </c>
    </row>
    <row r="151" spans="1:1">
      <c r="A151" s="6" t="s">
        <v>656</v>
      </c>
    </row>
    <row r="152" spans="1:1">
      <c r="A152" s="6" t="s">
        <v>657</v>
      </c>
    </row>
    <row r="153" spans="1:1">
      <c r="A153" s="6" t="s">
        <v>658</v>
      </c>
    </row>
    <row r="154" spans="1:1">
      <c r="A154" s="6" t="s">
        <v>659</v>
      </c>
    </row>
    <row r="155" spans="1:1">
      <c r="A155" s="6" t="s">
        <v>660</v>
      </c>
    </row>
    <row r="156" spans="1:1">
      <c r="A156" s="6" t="s">
        <v>661</v>
      </c>
    </row>
    <row r="157" spans="1:1">
      <c r="A157" s="6" t="s">
        <v>662</v>
      </c>
    </row>
    <row r="158" spans="1:1">
      <c r="A158" s="6" t="s">
        <v>663</v>
      </c>
    </row>
    <row r="159" spans="1:1">
      <c r="A159" s="6" t="s">
        <v>664</v>
      </c>
    </row>
    <row r="160" spans="1:1">
      <c r="A160" s="6" t="s">
        <v>665</v>
      </c>
    </row>
    <row r="161" spans="1:1">
      <c r="A161" s="6" t="s">
        <v>666</v>
      </c>
    </row>
    <row r="162" spans="1:1">
      <c r="A162" s="6" t="s">
        <v>667</v>
      </c>
    </row>
    <row r="163" spans="1:1">
      <c r="A163" s="6" t="s">
        <v>668</v>
      </c>
    </row>
    <row r="164" spans="1:1">
      <c r="A164" s="6" t="s">
        <v>669</v>
      </c>
    </row>
    <row r="165" spans="1:1">
      <c r="A165" s="6" t="s">
        <v>670</v>
      </c>
    </row>
    <row r="166" spans="1:1">
      <c r="A166" s="6" t="s">
        <v>341</v>
      </c>
    </row>
    <row r="167" spans="1:1">
      <c r="A167" s="6" t="s">
        <v>671</v>
      </c>
    </row>
    <row r="168" spans="1:1">
      <c r="A168" s="6" t="s">
        <v>672</v>
      </c>
    </row>
    <row r="169" spans="1:1">
      <c r="A169" s="6" t="s">
        <v>673</v>
      </c>
    </row>
    <row r="170" spans="1:1">
      <c r="A170" s="6" t="s">
        <v>674</v>
      </c>
    </row>
    <row r="171" spans="1:1">
      <c r="A171" s="6" t="s">
        <v>675</v>
      </c>
    </row>
    <row r="172" spans="1:1">
      <c r="A172" s="6" t="s">
        <v>676</v>
      </c>
    </row>
    <row r="173" spans="1:1">
      <c r="A173" s="6" t="s">
        <v>677</v>
      </c>
    </row>
    <row r="174" spans="1:1">
      <c r="A174" s="6" t="s">
        <v>678</v>
      </c>
    </row>
  </sheetData>
  <phoneticPr fontId="1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4"/>
  <sheetViews>
    <sheetView workbookViewId="0">
      <selection activeCell="A2" sqref="A2"/>
    </sheetView>
  </sheetViews>
  <sheetFormatPr baseColWidth="10" defaultColWidth="9" defaultRowHeight="16"/>
  <cols>
    <col min="1" max="1" width="78.1640625" style="20" customWidth="1"/>
  </cols>
  <sheetData>
    <row r="1" spans="1:1">
      <c r="A1" s="1" t="s">
        <v>417</v>
      </c>
    </row>
    <row r="2" spans="1:1" ht="13.5" customHeight="1">
      <c r="A2" t="s">
        <v>679</v>
      </c>
    </row>
    <row r="3" spans="1:1" ht="13.5" customHeight="1">
      <c r="A3" t="s">
        <v>680</v>
      </c>
    </row>
    <row r="4" spans="1:1" ht="13.5" customHeight="1">
      <c r="A4" t="s">
        <v>681</v>
      </c>
    </row>
    <row r="5" spans="1:1" ht="13.5" customHeight="1">
      <c r="A5" t="s">
        <v>682</v>
      </c>
    </row>
    <row r="6" spans="1:1" ht="13.5" customHeight="1">
      <c r="A6" t="s">
        <v>683</v>
      </c>
    </row>
    <row r="7" spans="1:1" ht="13.5" customHeight="1">
      <c r="A7" t="s">
        <v>684</v>
      </c>
    </row>
    <row r="8" spans="1:1" ht="13.5" customHeight="1">
      <c r="A8" t="s">
        <v>685</v>
      </c>
    </row>
    <row r="9" spans="1:1" ht="13.5" customHeight="1">
      <c r="A9" t="s">
        <v>686</v>
      </c>
    </row>
    <row r="10" spans="1:1" ht="13.5" customHeight="1">
      <c r="A10" t="s">
        <v>687</v>
      </c>
    </row>
    <row r="11" spans="1:1" ht="13.5" customHeight="1">
      <c r="A11" t="s">
        <v>688</v>
      </c>
    </row>
    <row r="12" spans="1:1" ht="13.5" customHeight="1">
      <c r="A12" t="s">
        <v>689</v>
      </c>
    </row>
    <row r="13" spans="1:1" ht="13.5" customHeight="1">
      <c r="A13" t="s">
        <v>690</v>
      </c>
    </row>
    <row r="14" spans="1:1" ht="13.5" customHeight="1">
      <c r="A14" t="s">
        <v>691</v>
      </c>
    </row>
  </sheetData>
  <phoneticPr fontId="1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230"/>
  <sheetViews>
    <sheetView workbookViewId="0"/>
  </sheetViews>
  <sheetFormatPr baseColWidth="10" defaultColWidth="8.83203125" defaultRowHeight="16"/>
  <sheetData>
    <row r="1" spans="1:24">
      <c r="A1" t="s">
        <v>692</v>
      </c>
      <c r="B1" t="s">
        <v>693</v>
      </c>
      <c r="C1" t="s">
        <v>694</v>
      </c>
      <c r="D1" t="s">
        <v>695</v>
      </c>
      <c r="E1" t="s">
        <v>696</v>
      </c>
      <c r="F1" t="s">
        <v>697</v>
      </c>
      <c r="G1" t="s">
        <v>698</v>
      </c>
      <c r="H1" t="s">
        <v>699</v>
      </c>
      <c r="I1" t="s">
        <v>700</v>
      </c>
      <c r="J1" t="s">
        <v>701</v>
      </c>
      <c r="K1" t="s">
        <v>702</v>
      </c>
      <c r="L1" t="s">
        <v>703</v>
      </c>
      <c r="M1" t="s">
        <v>704</v>
      </c>
      <c r="N1" t="s">
        <v>705</v>
      </c>
      <c r="O1" t="s">
        <v>706</v>
      </c>
      <c r="P1" t="s">
        <v>707</v>
      </c>
      <c r="Q1" t="s">
        <v>708</v>
      </c>
      <c r="R1" t="s">
        <v>709</v>
      </c>
      <c r="S1" t="s">
        <v>710</v>
      </c>
      <c r="T1" t="s">
        <v>711</v>
      </c>
      <c r="U1" t="s">
        <v>712</v>
      </c>
      <c r="V1" t="s">
        <v>713</v>
      </c>
      <c r="W1" t="s">
        <v>714</v>
      </c>
      <c r="X1" t="s">
        <v>715</v>
      </c>
    </row>
    <row r="2" spans="1:24">
      <c r="A2" t="s">
        <v>716</v>
      </c>
      <c r="B2" t="s">
        <v>33</v>
      </c>
      <c r="C2" t="s">
        <v>717</v>
      </c>
      <c r="D2" t="s">
        <v>718</v>
      </c>
      <c r="E2" t="s">
        <v>719</v>
      </c>
      <c r="F2" t="s">
        <v>720</v>
      </c>
      <c r="G2" t="s">
        <v>721</v>
      </c>
      <c r="I2">
        <v>1</v>
      </c>
      <c r="J2" t="s">
        <v>722</v>
      </c>
      <c r="K2" t="s">
        <v>723</v>
      </c>
      <c r="L2">
        <v>483</v>
      </c>
      <c r="M2" t="s">
        <v>40</v>
      </c>
      <c r="N2" t="s">
        <v>724</v>
      </c>
      <c r="O2">
        <v>0.48136057764187162</v>
      </c>
      <c r="R2" t="s">
        <v>725</v>
      </c>
      <c r="S2" t="s">
        <v>726</v>
      </c>
      <c r="T2" t="s">
        <v>727</v>
      </c>
      <c r="U2">
        <v>1</v>
      </c>
      <c r="V2">
        <v>12757.5</v>
      </c>
      <c r="W2" t="s">
        <v>728</v>
      </c>
    </row>
    <row r="3" spans="1:24">
      <c r="A3" t="s">
        <v>729</v>
      </c>
      <c r="B3" t="s">
        <v>44</v>
      </c>
      <c r="C3" t="s">
        <v>730</v>
      </c>
      <c r="D3" t="s">
        <v>731</v>
      </c>
      <c r="E3" t="s">
        <v>719</v>
      </c>
      <c r="F3" t="s">
        <v>720</v>
      </c>
      <c r="G3" t="s">
        <v>732</v>
      </c>
      <c r="I3">
        <v>1</v>
      </c>
      <c r="J3" t="s">
        <v>722</v>
      </c>
      <c r="K3" t="s">
        <v>723</v>
      </c>
      <c r="L3">
        <v>16237</v>
      </c>
      <c r="M3" t="s">
        <v>46</v>
      </c>
      <c r="N3" t="s">
        <v>733</v>
      </c>
      <c r="O3">
        <v>0.33922737993577262</v>
      </c>
      <c r="R3" t="s">
        <v>734</v>
      </c>
      <c r="S3" t="s">
        <v>735</v>
      </c>
      <c r="T3" t="s">
        <v>736</v>
      </c>
      <c r="U3">
        <v>1</v>
      </c>
      <c r="V3">
        <v>8042.2</v>
      </c>
      <c r="W3" t="s">
        <v>728</v>
      </c>
    </row>
    <row r="4" spans="1:24">
      <c r="A4" t="s">
        <v>737</v>
      </c>
      <c r="B4" t="s">
        <v>48</v>
      </c>
      <c r="C4" t="s">
        <v>738</v>
      </c>
      <c r="D4" t="s">
        <v>739</v>
      </c>
      <c r="E4" t="s">
        <v>719</v>
      </c>
      <c r="F4" t="s">
        <v>740</v>
      </c>
      <c r="G4" t="s">
        <v>741</v>
      </c>
      <c r="I4">
        <v>1</v>
      </c>
      <c r="J4" t="s">
        <v>722</v>
      </c>
      <c r="K4" t="s">
        <v>723</v>
      </c>
      <c r="L4">
        <v>13120</v>
      </c>
      <c r="M4" t="s">
        <v>50</v>
      </c>
      <c r="N4" t="s">
        <v>733</v>
      </c>
      <c r="O4">
        <v>0.44939031794177942</v>
      </c>
      <c r="R4" t="s">
        <v>742</v>
      </c>
      <c r="S4" t="s">
        <v>735</v>
      </c>
      <c r="T4" t="s">
        <v>743</v>
      </c>
      <c r="U4">
        <v>1</v>
      </c>
      <c r="V4">
        <v>104247</v>
      </c>
      <c r="W4" t="s">
        <v>728</v>
      </c>
    </row>
    <row r="5" spans="1:24">
      <c r="A5" t="s">
        <v>744</v>
      </c>
      <c r="B5" t="s">
        <v>51</v>
      </c>
      <c r="C5" t="s">
        <v>738</v>
      </c>
      <c r="D5" t="s">
        <v>745</v>
      </c>
      <c r="E5" t="s">
        <v>746</v>
      </c>
      <c r="F5" t="s">
        <v>720</v>
      </c>
      <c r="G5" t="s">
        <v>747</v>
      </c>
      <c r="L5">
        <v>13117</v>
      </c>
      <c r="M5" t="s">
        <v>54</v>
      </c>
      <c r="N5" t="s">
        <v>748</v>
      </c>
      <c r="O5">
        <v>0.45517296047981121</v>
      </c>
      <c r="R5" t="s">
        <v>749</v>
      </c>
      <c r="S5" t="s">
        <v>750</v>
      </c>
      <c r="T5" t="s">
        <v>751</v>
      </c>
      <c r="U5">
        <v>1</v>
      </c>
      <c r="V5">
        <v>5216.2599999999993</v>
      </c>
      <c r="W5" t="s">
        <v>728</v>
      </c>
    </row>
    <row r="6" spans="1:24">
      <c r="A6" t="s">
        <v>752</v>
      </c>
      <c r="B6" t="s">
        <v>48</v>
      </c>
      <c r="C6" t="s">
        <v>738</v>
      </c>
      <c r="D6">
        <v>7250</v>
      </c>
      <c r="E6" t="s">
        <v>719</v>
      </c>
      <c r="F6" t="s">
        <v>720</v>
      </c>
      <c r="G6" t="s">
        <v>753</v>
      </c>
      <c r="I6">
        <v>1</v>
      </c>
      <c r="J6" t="s">
        <v>722</v>
      </c>
      <c r="K6" t="s">
        <v>723</v>
      </c>
      <c r="L6">
        <v>13120</v>
      </c>
      <c r="M6" t="s">
        <v>50</v>
      </c>
      <c r="N6" t="s">
        <v>733</v>
      </c>
      <c r="O6">
        <v>0.49113032939699469</v>
      </c>
      <c r="R6" t="s">
        <v>754</v>
      </c>
      <c r="S6" t="s">
        <v>735</v>
      </c>
      <c r="T6" t="s">
        <v>743</v>
      </c>
      <c r="U6">
        <v>1</v>
      </c>
      <c r="V6">
        <v>543750</v>
      </c>
      <c r="W6" t="s">
        <v>728</v>
      </c>
    </row>
    <row r="7" spans="1:24">
      <c r="A7" t="s">
        <v>755</v>
      </c>
      <c r="B7" t="s">
        <v>48</v>
      </c>
      <c r="C7" t="s">
        <v>738</v>
      </c>
      <c r="D7">
        <v>16.989999999999998</v>
      </c>
      <c r="E7" t="s">
        <v>746</v>
      </c>
      <c r="F7" t="s">
        <v>756</v>
      </c>
      <c r="G7" t="s">
        <v>757</v>
      </c>
      <c r="L7">
        <v>13120</v>
      </c>
      <c r="M7" t="s">
        <v>50</v>
      </c>
      <c r="N7" t="s">
        <v>733</v>
      </c>
      <c r="O7">
        <v>0.43022526201716849</v>
      </c>
      <c r="R7" t="s">
        <v>758</v>
      </c>
      <c r="S7" t="s">
        <v>759</v>
      </c>
      <c r="T7" t="s">
        <v>743</v>
      </c>
      <c r="U7">
        <v>1</v>
      </c>
      <c r="V7">
        <v>1274.25</v>
      </c>
      <c r="W7" t="s">
        <v>728</v>
      </c>
    </row>
    <row r="8" spans="1:24">
      <c r="A8" t="s">
        <v>760</v>
      </c>
      <c r="B8" t="s">
        <v>58</v>
      </c>
      <c r="C8" t="s">
        <v>738</v>
      </c>
      <c r="D8">
        <v>9.06</v>
      </c>
      <c r="E8" t="s">
        <v>746</v>
      </c>
      <c r="F8" t="s">
        <v>756</v>
      </c>
      <c r="G8" t="s">
        <v>761</v>
      </c>
      <c r="L8">
        <v>13117</v>
      </c>
      <c r="M8" t="s">
        <v>54</v>
      </c>
      <c r="N8" t="s">
        <v>748</v>
      </c>
      <c r="O8">
        <v>0.4222018540769884</v>
      </c>
      <c r="R8" t="s">
        <v>762</v>
      </c>
      <c r="S8" t="s">
        <v>750</v>
      </c>
      <c r="T8" t="s">
        <v>751</v>
      </c>
      <c r="U8">
        <v>1</v>
      </c>
      <c r="V8">
        <v>670.44</v>
      </c>
      <c r="W8" t="s">
        <v>728</v>
      </c>
    </row>
    <row r="9" spans="1:24">
      <c r="A9" t="s">
        <v>763</v>
      </c>
      <c r="B9" t="s">
        <v>60</v>
      </c>
      <c r="C9" t="s">
        <v>738</v>
      </c>
      <c r="D9">
        <v>5.66</v>
      </c>
      <c r="E9" t="s">
        <v>746</v>
      </c>
      <c r="F9" t="s">
        <v>756</v>
      </c>
      <c r="G9" t="s">
        <v>764</v>
      </c>
      <c r="L9">
        <v>31</v>
      </c>
      <c r="M9" t="s">
        <v>62</v>
      </c>
      <c r="N9" t="s">
        <v>765</v>
      </c>
      <c r="O9">
        <v>0.4385529950047628</v>
      </c>
      <c r="R9" t="s">
        <v>766</v>
      </c>
      <c r="S9" t="s">
        <v>767</v>
      </c>
      <c r="T9" t="s">
        <v>768</v>
      </c>
      <c r="U9">
        <v>1</v>
      </c>
      <c r="V9">
        <v>4.2732999999999999</v>
      </c>
      <c r="W9" t="s">
        <v>728</v>
      </c>
    </row>
    <row r="10" spans="1:24">
      <c r="A10" t="s">
        <v>769</v>
      </c>
      <c r="B10" t="s">
        <v>63</v>
      </c>
      <c r="C10" t="s">
        <v>738</v>
      </c>
      <c r="D10" t="s">
        <v>770</v>
      </c>
      <c r="E10" t="s">
        <v>746</v>
      </c>
      <c r="F10" t="s">
        <v>756</v>
      </c>
      <c r="G10" t="s">
        <v>771</v>
      </c>
      <c r="L10">
        <v>13120</v>
      </c>
      <c r="M10" t="s">
        <v>50</v>
      </c>
      <c r="N10" t="s">
        <v>733</v>
      </c>
      <c r="O10">
        <v>0.44160340086746769</v>
      </c>
      <c r="R10" t="s">
        <v>772</v>
      </c>
      <c r="S10" t="s">
        <v>759</v>
      </c>
      <c r="T10" t="s">
        <v>743</v>
      </c>
      <c r="U10">
        <v>1</v>
      </c>
      <c r="V10">
        <v>3822.75</v>
      </c>
      <c r="W10" t="s">
        <v>728</v>
      </c>
    </row>
    <row r="11" spans="1:24">
      <c r="A11" t="s">
        <v>773</v>
      </c>
      <c r="B11" t="s">
        <v>65</v>
      </c>
      <c r="C11" t="s">
        <v>738</v>
      </c>
      <c r="D11">
        <v>21.92</v>
      </c>
      <c r="E11" t="s">
        <v>746</v>
      </c>
      <c r="F11" t="s">
        <v>756</v>
      </c>
      <c r="G11" t="s">
        <v>774</v>
      </c>
      <c r="L11">
        <v>13120</v>
      </c>
      <c r="M11" t="s">
        <v>50</v>
      </c>
      <c r="N11" t="s">
        <v>733</v>
      </c>
      <c r="O11">
        <v>0.43684761074926892</v>
      </c>
      <c r="R11" t="s">
        <v>775</v>
      </c>
      <c r="S11" t="s">
        <v>759</v>
      </c>
      <c r="T11" t="s">
        <v>743</v>
      </c>
      <c r="U11">
        <v>1</v>
      </c>
      <c r="V11">
        <v>1644</v>
      </c>
      <c r="W11" t="s">
        <v>728</v>
      </c>
    </row>
    <row r="12" spans="1:24">
      <c r="A12" t="s">
        <v>776</v>
      </c>
      <c r="B12" t="s">
        <v>63</v>
      </c>
      <c r="C12" t="s">
        <v>738</v>
      </c>
      <c r="D12" t="s">
        <v>777</v>
      </c>
      <c r="E12" t="s">
        <v>746</v>
      </c>
      <c r="F12" t="s">
        <v>756</v>
      </c>
      <c r="G12" t="s">
        <v>778</v>
      </c>
      <c r="L12">
        <v>13120</v>
      </c>
      <c r="M12" t="s">
        <v>50</v>
      </c>
      <c r="N12" t="s">
        <v>733</v>
      </c>
      <c r="O12">
        <v>0.43983453698431968</v>
      </c>
      <c r="R12" t="s">
        <v>779</v>
      </c>
      <c r="S12" t="s">
        <v>759</v>
      </c>
      <c r="T12" t="s">
        <v>743</v>
      </c>
      <c r="U12">
        <v>1</v>
      </c>
      <c r="V12">
        <v>8919.75</v>
      </c>
      <c r="W12" t="s">
        <v>728</v>
      </c>
    </row>
    <row r="13" spans="1:24">
      <c r="A13" t="s">
        <v>780</v>
      </c>
      <c r="B13" t="s">
        <v>67</v>
      </c>
      <c r="C13" t="s">
        <v>738</v>
      </c>
      <c r="D13" t="s">
        <v>781</v>
      </c>
      <c r="E13" t="s">
        <v>719</v>
      </c>
      <c r="F13" t="s">
        <v>720</v>
      </c>
      <c r="G13" t="s">
        <v>782</v>
      </c>
      <c r="I13">
        <v>1</v>
      </c>
      <c r="J13" t="s">
        <v>722</v>
      </c>
      <c r="K13" t="s">
        <v>723</v>
      </c>
      <c r="L13">
        <v>16207</v>
      </c>
      <c r="M13" t="s">
        <v>69</v>
      </c>
      <c r="N13" t="s">
        <v>733</v>
      </c>
      <c r="O13">
        <v>0.39079829392322651</v>
      </c>
      <c r="R13" t="s">
        <v>783</v>
      </c>
      <c r="S13" t="s">
        <v>735</v>
      </c>
      <c r="T13" t="s">
        <v>784</v>
      </c>
      <c r="U13">
        <v>1</v>
      </c>
      <c r="V13">
        <v>1300500</v>
      </c>
      <c r="W13" t="s">
        <v>728</v>
      </c>
    </row>
    <row r="14" spans="1:24">
      <c r="A14" t="s">
        <v>785</v>
      </c>
      <c r="B14" t="s">
        <v>70</v>
      </c>
      <c r="C14" t="s">
        <v>786</v>
      </c>
      <c r="D14" t="s">
        <v>787</v>
      </c>
      <c r="E14" t="s">
        <v>719</v>
      </c>
      <c r="F14" t="s">
        <v>720</v>
      </c>
      <c r="G14" t="s">
        <v>788</v>
      </c>
      <c r="I14">
        <v>1</v>
      </c>
      <c r="J14" t="s">
        <v>722</v>
      </c>
      <c r="K14" t="s">
        <v>723</v>
      </c>
      <c r="L14">
        <v>16282</v>
      </c>
      <c r="M14" t="s">
        <v>72</v>
      </c>
      <c r="N14" t="s">
        <v>733</v>
      </c>
      <c r="O14">
        <v>0.50546662429618572</v>
      </c>
      <c r="R14" t="s">
        <v>789</v>
      </c>
      <c r="S14" t="s">
        <v>735</v>
      </c>
      <c r="T14" t="s">
        <v>790</v>
      </c>
      <c r="U14">
        <v>1</v>
      </c>
      <c r="V14">
        <v>7973</v>
      </c>
      <c r="W14" t="s">
        <v>728</v>
      </c>
    </row>
    <row r="15" spans="1:24">
      <c r="A15" t="s">
        <v>791</v>
      </c>
      <c r="B15" t="s">
        <v>70</v>
      </c>
      <c r="C15" t="s">
        <v>786</v>
      </c>
      <c r="D15" t="s">
        <v>787</v>
      </c>
      <c r="E15" t="s">
        <v>719</v>
      </c>
      <c r="F15" t="s">
        <v>720</v>
      </c>
      <c r="G15" t="s">
        <v>792</v>
      </c>
      <c r="I15">
        <v>1</v>
      </c>
      <c r="J15" t="s">
        <v>722</v>
      </c>
      <c r="K15" t="s">
        <v>723</v>
      </c>
      <c r="L15">
        <v>16282</v>
      </c>
      <c r="M15" t="s">
        <v>72</v>
      </c>
      <c r="N15" t="s">
        <v>733</v>
      </c>
      <c r="O15">
        <v>0.50528529877014738</v>
      </c>
      <c r="R15" t="s">
        <v>789</v>
      </c>
      <c r="S15" t="s">
        <v>735</v>
      </c>
      <c r="T15" t="s">
        <v>790</v>
      </c>
      <c r="U15">
        <v>1</v>
      </c>
      <c r="V15">
        <v>7973</v>
      </c>
      <c r="W15" t="s">
        <v>728</v>
      </c>
    </row>
    <row r="16" spans="1:24">
      <c r="A16" t="s">
        <v>793</v>
      </c>
      <c r="B16" t="s">
        <v>73</v>
      </c>
      <c r="C16" t="s">
        <v>786</v>
      </c>
      <c r="D16" t="s">
        <v>787</v>
      </c>
      <c r="E16" t="s">
        <v>719</v>
      </c>
      <c r="F16" t="s">
        <v>720</v>
      </c>
      <c r="G16" t="s">
        <v>794</v>
      </c>
      <c r="I16">
        <v>1</v>
      </c>
      <c r="J16" t="s">
        <v>722</v>
      </c>
      <c r="K16" t="s">
        <v>723</v>
      </c>
      <c r="L16">
        <v>16278</v>
      </c>
      <c r="M16" t="s">
        <v>75</v>
      </c>
      <c r="N16" t="s">
        <v>795</v>
      </c>
      <c r="O16">
        <v>0.4803429320988829</v>
      </c>
      <c r="R16" t="s">
        <v>796</v>
      </c>
      <c r="S16" t="s">
        <v>797</v>
      </c>
      <c r="T16" t="s">
        <v>798</v>
      </c>
      <c r="U16">
        <v>1</v>
      </c>
      <c r="V16">
        <v>8568</v>
      </c>
      <c r="W16" t="s">
        <v>728</v>
      </c>
    </row>
    <row r="17" spans="1:23">
      <c r="A17" t="s">
        <v>799</v>
      </c>
      <c r="B17" t="s">
        <v>800</v>
      </c>
      <c r="C17" t="s">
        <v>786</v>
      </c>
      <c r="D17" t="s">
        <v>787</v>
      </c>
      <c r="E17" t="s">
        <v>719</v>
      </c>
      <c r="F17" t="s">
        <v>720</v>
      </c>
      <c r="G17" t="s">
        <v>801</v>
      </c>
      <c r="I17">
        <v>1</v>
      </c>
      <c r="J17" t="s">
        <v>722</v>
      </c>
      <c r="K17" t="s">
        <v>723</v>
      </c>
      <c r="L17">
        <v>16282</v>
      </c>
      <c r="M17" t="s">
        <v>72</v>
      </c>
      <c r="N17" t="s">
        <v>733</v>
      </c>
      <c r="O17">
        <v>0.48563266593246179</v>
      </c>
      <c r="R17" t="s">
        <v>802</v>
      </c>
      <c r="S17" t="s">
        <v>735</v>
      </c>
      <c r="T17" t="s">
        <v>790</v>
      </c>
      <c r="U17">
        <v>1</v>
      </c>
      <c r="V17">
        <v>7973</v>
      </c>
      <c r="W17" t="s">
        <v>728</v>
      </c>
    </row>
    <row r="18" spans="1:23">
      <c r="A18" t="s">
        <v>803</v>
      </c>
      <c r="B18" t="s">
        <v>78</v>
      </c>
      <c r="C18" t="s">
        <v>786</v>
      </c>
      <c r="D18" t="s">
        <v>787</v>
      </c>
      <c r="E18" t="s">
        <v>719</v>
      </c>
      <c r="F18" t="s">
        <v>720</v>
      </c>
      <c r="G18" t="s">
        <v>804</v>
      </c>
      <c r="I18">
        <v>1</v>
      </c>
      <c r="J18" t="s">
        <v>722</v>
      </c>
      <c r="K18" t="s">
        <v>723</v>
      </c>
      <c r="L18">
        <v>16278</v>
      </c>
      <c r="M18" t="s">
        <v>75</v>
      </c>
      <c r="N18" t="s">
        <v>795</v>
      </c>
      <c r="O18">
        <v>0.48712182400181359</v>
      </c>
      <c r="R18" t="s">
        <v>805</v>
      </c>
      <c r="S18" t="s">
        <v>797</v>
      </c>
      <c r="T18" t="s">
        <v>798</v>
      </c>
      <c r="U18">
        <v>1</v>
      </c>
      <c r="V18">
        <v>8568</v>
      </c>
      <c r="W18" t="s">
        <v>728</v>
      </c>
    </row>
    <row r="19" spans="1:23">
      <c r="A19" t="s">
        <v>806</v>
      </c>
      <c r="B19" t="s">
        <v>80</v>
      </c>
      <c r="C19" t="s">
        <v>738</v>
      </c>
      <c r="D19">
        <v>2000</v>
      </c>
      <c r="E19" t="s">
        <v>719</v>
      </c>
      <c r="F19" t="s">
        <v>720</v>
      </c>
      <c r="G19" t="s">
        <v>807</v>
      </c>
      <c r="I19">
        <v>1</v>
      </c>
      <c r="J19" t="s">
        <v>722</v>
      </c>
      <c r="K19" t="s">
        <v>723</v>
      </c>
      <c r="L19">
        <v>16207</v>
      </c>
      <c r="M19" t="s">
        <v>69</v>
      </c>
      <c r="N19" t="s">
        <v>733</v>
      </c>
      <c r="O19">
        <v>0.381668551542104</v>
      </c>
      <c r="R19" t="s">
        <v>808</v>
      </c>
      <c r="S19" t="s">
        <v>735</v>
      </c>
      <c r="T19" t="s">
        <v>784</v>
      </c>
      <c r="U19">
        <v>1</v>
      </c>
      <c r="V19">
        <v>204000</v>
      </c>
      <c r="W19" t="s">
        <v>728</v>
      </c>
    </row>
    <row r="20" spans="1:23">
      <c r="A20" t="s">
        <v>809</v>
      </c>
      <c r="B20" t="s">
        <v>82</v>
      </c>
      <c r="C20" t="s">
        <v>717</v>
      </c>
      <c r="D20" t="s">
        <v>810</v>
      </c>
      <c r="E20" t="s">
        <v>719</v>
      </c>
      <c r="F20" t="s">
        <v>720</v>
      </c>
      <c r="G20" t="s">
        <v>811</v>
      </c>
      <c r="I20">
        <v>1</v>
      </c>
      <c r="J20" t="s">
        <v>722</v>
      </c>
      <c r="K20" t="s">
        <v>723</v>
      </c>
      <c r="L20">
        <v>16201</v>
      </c>
      <c r="M20" t="s">
        <v>83</v>
      </c>
      <c r="N20" t="s">
        <v>724</v>
      </c>
      <c r="O20">
        <v>0.48213163530144698</v>
      </c>
      <c r="R20" t="s">
        <v>812</v>
      </c>
      <c r="S20" t="s">
        <v>726</v>
      </c>
      <c r="T20" t="s">
        <v>813</v>
      </c>
      <c r="U20">
        <v>1</v>
      </c>
      <c r="V20">
        <v>0</v>
      </c>
      <c r="W20" t="s">
        <v>728</v>
      </c>
    </row>
    <row r="21" spans="1:23">
      <c r="A21" t="s">
        <v>814</v>
      </c>
      <c r="B21" t="s">
        <v>84</v>
      </c>
      <c r="C21" t="s">
        <v>717</v>
      </c>
      <c r="D21" t="s">
        <v>815</v>
      </c>
      <c r="E21" t="s">
        <v>719</v>
      </c>
      <c r="F21" t="s">
        <v>720</v>
      </c>
      <c r="G21" t="s">
        <v>811</v>
      </c>
      <c r="I21">
        <v>1</v>
      </c>
      <c r="J21" t="s">
        <v>722</v>
      </c>
      <c r="K21" t="s">
        <v>723</v>
      </c>
      <c r="L21">
        <v>16201</v>
      </c>
      <c r="M21" t="s">
        <v>83</v>
      </c>
      <c r="N21" t="s">
        <v>724</v>
      </c>
      <c r="O21">
        <v>0.48626071073906357</v>
      </c>
      <c r="R21" t="s">
        <v>816</v>
      </c>
      <c r="S21" t="s">
        <v>726</v>
      </c>
      <c r="T21" t="s">
        <v>813</v>
      </c>
      <c r="U21">
        <v>1</v>
      </c>
      <c r="V21">
        <v>360</v>
      </c>
      <c r="W21" t="s">
        <v>728</v>
      </c>
    </row>
    <row r="22" spans="1:23">
      <c r="A22" t="s">
        <v>817</v>
      </c>
      <c r="B22" t="s">
        <v>85</v>
      </c>
      <c r="C22" t="s">
        <v>717</v>
      </c>
      <c r="D22" t="s">
        <v>815</v>
      </c>
      <c r="E22" t="s">
        <v>719</v>
      </c>
      <c r="F22" t="s">
        <v>720</v>
      </c>
      <c r="G22" t="s">
        <v>811</v>
      </c>
      <c r="I22">
        <v>1</v>
      </c>
      <c r="J22" t="s">
        <v>722</v>
      </c>
      <c r="K22" t="s">
        <v>723</v>
      </c>
      <c r="L22">
        <v>16201</v>
      </c>
      <c r="M22" t="s">
        <v>83</v>
      </c>
      <c r="N22" t="s">
        <v>724</v>
      </c>
      <c r="O22">
        <v>0.46968078190798801</v>
      </c>
      <c r="R22" t="s">
        <v>818</v>
      </c>
      <c r="S22" t="s">
        <v>726</v>
      </c>
      <c r="T22" t="s">
        <v>813</v>
      </c>
      <c r="U22">
        <v>1</v>
      </c>
      <c r="V22">
        <v>360</v>
      </c>
      <c r="W22" t="s">
        <v>728</v>
      </c>
    </row>
    <row r="23" spans="1:23">
      <c r="A23" t="s">
        <v>819</v>
      </c>
      <c r="B23" t="s">
        <v>820</v>
      </c>
      <c r="C23" t="s">
        <v>717</v>
      </c>
      <c r="D23" t="s">
        <v>815</v>
      </c>
      <c r="E23" t="s">
        <v>719</v>
      </c>
      <c r="F23" t="s">
        <v>720</v>
      </c>
      <c r="G23" t="s">
        <v>821</v>
      </c>
      <c r="I23">
        <v>1</v>
      </c>
      <c r="J23" t="s">
        <v>722</v>
      </c>
      <c r="K23" t="s">
        <v>723</v>
      </c>
      <c r="L23">
        <v>16201</v>
      </c>
      <c r="M23" t="s">
        <v>83</v>
      </c>
      <c r="N23" t="s">
        <v>724</v>
      </c>
      <c r="O23">
        <v>0.45769322149272962</v>
      </c>
      <c r="R23" t="s">
        <v>822</v>
      </c>
      <c r="S23" t="s">
        <v>726</v>
      </c>
      <c r="T23" t="s">
        <v>813</v>
      </c>
      <c r="U23">
        <v>1</v>
      </c>
      <c r="V23">
        <v>360</v>
      </c>
      <c r="W23" t="s">
        <v>728</v>
      </c>
    </row>
    <row r="24" spans="1:23">
      <c r="A24" t="s">
        <v>823</v>
      </c>
      <c r="B24" t="s">
        <v>86</v>
      </c>
      <c r="C24" t="s">
        <v>717</v>
      </c>
      <c r="D24" t="s">
        <v>824</v>
      </c>
      <c r="E24" t="s">
        <v>719</v>
      </c>
      <c r="F24" t="s">
        <v>720</v>
      </c>
      <c r="G24" t="s">
        <v>825</v>
      </c>
      <c r="I24">
        <v>1</v>
      </c>
      <c r="J24" t="s">
        <v>722</v>
      </c>
      <c r="K24" t="s">
        <v>723</v>
      </c>
      <c r="L24">
        <v>16201</v>
      </c>
      <c r="M24" t="s">
        <v>83</v>
      </c>
      <c r="N24" t="s">
        <v>724</v>
      </c>
      <c r="O24">
        <v>0.46773971623269178</v>
      </c>
      <c r="R24" t="s">
        <v>826</v>
      </c>
      <c r="S24" t="s">
        <v>726</v>
      </c>
      <c r="T24" t="s">
        <v>813</v>
      </c>
      <c r="U24">
        <v>1</v>
      </c>
      <c r="V24">
        <v>372777.3</v>
      </c>
      <c r="W24" t="s">
        <v>728</v>
      </c>
    </row>
    <row r="25" spans="1:23">
      <c r="A25" t="s">
        <v>827</v>
      </c>
      <c r="B25" t="s">
        <v>828</v>
      </c>
      <c r="C25" t="s">
        <v>717</v>
      </c>
      <c r="D25" t="s">
        <v>829</v>
      </c>
      <c r="E25" t="s">
        <v>719</v>
      </c>
      <c r="F25" t="s">
        <v>720</v>
      </c>
      <c r="G25" t="s">
        <v>830</v>
      </c>
      <c r="I25">
        <v>1</v>
      </c>
      <c r="J25" t="s">
        <v>722</v>
      </c>
      <c r="K25" t="s">
        <v>723</v>
      </c>
      <c r="L25">
        <v>16201</v>
      </c>
      <c r="M25" t="s">
        <v>83</v>
      </c>
      <c r="N25" t="s">
        <v>724</v>
      </c>
      <c r="O25">
        <v>0.48498838797399119</v>
      </c>
      <c r="R25" t="s">
        <v>831</v>
      </c>
      <c r="S25" t="s">
        <v>726</v>
      </c>
      <c r="T25" t="s">
        <v>813</v>
      </c>
      <c r="U25">
        <v>1</v>
      </c>
      <c r="V25">
        <v>600813.9</v>
      </c>
      <c r="W25" t="s">
        <v>728</v>
      </c>
    </row>
    <row r="26" spans="1:23">
      <c r="A26" t="s">
        <v>832</v>
      </c>
      <c r="B26" t="s">
        <v>87</v>
      </c>
      <c r="C26" t="s">
        <v>833</v>
      </c>
      <c r="D26" t="s">
        <v>834</v>
      </c>
      <c r="E26" t="s">
        <v>719</v>
      </c>
      <c r="F26" t="s">
        <v>720</v>
      </c>
      <c r="G26" t="s">
        <v>835</v>
      </c>
      <c r="H26" t="s">
        <v>836</v>
      </c>
      <c r="I26">
        <v>1</v>
      </c>
      <c r="J26" t="s">
        <v>722</v>
      </c>
      <c r="K26" t="s">
        <v>723</v>
      </c>
      <c r="L26">
        <v>531</v>
      </c>
      <c r="M26" t="s">
        <v>90</v>
      </c>
      <c r="N26" t="s">
        <v>837</v>
      </c>
      <c r="O26">
        <v>0.72865486656645673</v>
      </c>
      <c r="R26" t="s">
        <v>838</v>
      </c>
      <c r="S26" t="s">
        <v>839</v>
      </c>
      <c r="T26" t="s">
        <v>840</v>
      </c>
      <c r="U26">
        <v>1</v>
      </c>
      <c r="V26">
        <v>120.54</v>
      </c>
      <c r="W26" t="s">
        <v>728</v>
      </c>
    </row>
    <row r="27" spans="1:23">
      <c r="A27" t="s">
        <v>841</v>
      </c>
      <c r="B27" t="s">
        <v>87</v>
      </c>
      <c r="C27" t="s">
        <v>833</v>
      </c>
      <c r="D27" t="s">
        <v>842</v>
      </c>
      <c r="E27" t="s">
        <v>719</v>
      </c>
      <c r="F27" t="s">
        <v>843</v>
      </c>
      <c r="G27" t="s">
        <v>844</v>
      </c>
      <c r="H27" t="s">
        <v>845</v>
      </c>
      <c r="I27">
        <v>1</v>
      </c>
      <c r="J27" t="s">
        <v>722</v>
      </c>
      <c r="K27" t="s">
        <v>723</v>
      </c>
      <c r="L27">
        <v>531</v>
      </c>
      <c r="M27" t="s">
        <v>90</v>
      </c>
      <c r="N27" t="s">
        <v>837</v>
      </c>
      <c r="O27">
        <v>0.73105945953429252</v>
      </c>
      <c r="R27" t="s">
        <v>846</v>
      </c>
      <c r="S27" t="s">
        <v>839</v>
      </c>
      <c r="T27" t="s">
        <v>840</v>
      </c>
      <c r="U27">
        <v>1</v>
      </c>
      <c r="V27">
        <v>2444.61</v>
      </c>
      <c r="W27" t="s">
        <v>728</v>
      </c>
    </row>
    <row r="28" spans="1:23">
      <c r="A28" t="s">
        <v>847</v>
      </c>
      <c r="B28" t="s">
        <v>93</v>
      </c>
      <c r="C28" t="s">
        <v>833</v>
      </c>
      <c r="D28" t="s">
        <v>842</v>
      </c>
      <c r="E28" t="s">
        <v>719</v>
      </c>
      <c r="F28" t="s">
        <v>843</v>
      </c>
      <c r="G28" t="s">
        <v>844</v>
      </c>
      <c r="H28" t="s">
        <v>845</v>
      </c>
      <c r="I28">
        <v>1</v>
      </c>
      <c r="J28" t="s">
        <v>722</v>
      </c>
      <c r="K28" t="s">
        <v>723</v>
      </c>
      <c r="L28">
        <v>492</v>
      </c>
      <c r="M28" t="s">
        <v>94</v>
      </c>
      <c r="N28" t="s">
        <v>837</v>
      </c>
      <c r="O28">
        <v>0.75655096310465386</v>
      </c>
      <c r="R28" t="s">
        <v>848</v>
      </c>
      <c r="S28" t="s">
        <v>839</v>
      </c>
      <c r="T28" t="s">
        <v>849</v>
      </c>
      <c r="U28">
        <v>1</v>
      </c>
      <c r="V28">
        <v>2777.21</v>
      </c>
      <c r="W28" t="s">
        <v>728</v>
      </c>
    </row>
    <row r="29" spans="1:23">
      <c r="A29" t="s">
        <v>850</v>
      </c>
      <c r="B29" t="s">
        <v>95</v>
      </c>
      <c r="C29" t="s">
        <v>833</v>
      </c>
      <c r="D29" t="s">
        <v>851</v>
      </c>
      <c r="E29" t="s">
        <v>719</v>
      </c>
      <c r="F29" t="s">
        <v>843</v>
      </c>
      <c r="G29" t="s">
        <v>852</v>
      </c>
      <c r="H29" t="s">
        <v>853</v>
      </c>
      <c r="I29">
        <v>1</v>
      </c>
      <c r="J29" t="s">
        <v>722</v>
      </c>
      <c r="K29" t="s">
        <v>723</v>
      </c>
      <c r="L29">
        <v>531</v>
      </c>
      <c r="M29" t="s">
        <v>90</v>
      </c>
      <c r="N29" t="s">
        <v>837</v>
      </c>
      <c r="O29">
        <v>0.7439310175166125</v>
      </c>
      <c r="R29" t="s">
        <v>854</v>
      </c>
      <c r="S29" t="s">
        <v>839</v>
      </c>
      <c r="T29" t="s">
        <v>840</v>
      </c>
      <c r="U29">
        <v>1</v>
      </c>
      <c r="V29">
        <v>1540.56</v>
      </c>
      <c r="W29" t="s">
        <v>728</v>
      </c>
    </row>
    <row r="30" spans="1:23">
      <c r="A30" t="s">
        <v>855</v>
      </c>
      <c r="B30" t="s">
        <v>97</v>
      </c>
      <c r="C30" t="s">
        <v>833</v>
      </c>
      <c r="D30" t="s">
        <v>856</v>
      </c>
      <c r="E30" t="s">
        <v>719</v>
      </c>
      <c r="F30" t="s">
        <v>857</v>
      </c>
      <c r="G30" t="s">
        <v>852</v>
      </c>
      <c r="H30" t="s">
        <v>858</v>
      </c>
      <c r="I30">
        <v>1</v>
      </c>
      <c r="J30" t="s">
        <v>722</v>
      </c>
      <c r="K30" t="s">
        <v>723</v>
      </c>
      <c r="L30">
        <v>531</v>
      </c>
      <c r="M30" t="s">
        <v>90</v>
      </c>
      <c r="N30" t="s">
        <v>837</v>
      </c>
      <c r="O30">
        <v>0.75242070853267995</v>
      </c>
      <c r="R30" t="s">
        <v>859</v>
      </c>
      <c r="S30" t="s">
        <v>839</v>
      </c>
      <c r="T30" t="s">
        <v>840</v>
      </c>
      <c r="U30">
        <v>1</v>
      </c>
      <c r="V30">
        <v>1393.56</v>
      </c>
      <c r="W30" t="s">
        <v>728</v>
      </c>
    </row>
    <row r="31" spans="1:23">
      <c r="A31" t="s">
        <v>860</v>
      </c>
      <c r="B31" t="s">
        <v>99</v>
      </c>
      <c r="C31" t="s">
        <v>861</v>
      </c>
      <c r="D31" t="s">
        <v>862</v>
      </c>
      <c r="E31" t="s">
        <v>719</v>
      </c>
      <c r="F31" t="s">
        <v>863</v>
      </c>
      <c r="L31">
        <v>14503</v>
      </c>
      <c r="M31" t="s">
        <v>100</v>
      </c>
      <c r="N31" t="s">
        <v>864</v>
      </c>
      <c r="O31">
        <v>0.47525968834751858</v>
      </c>
      <c r="R31" t="s">
        <v>865</v>
      </c>
      <c r="S31" t="s">
        <v>866</v>
      </c>
      <c r="T31" t="s">
        <v>867</v>
      </c>
      <c r="U31">
        <v>1</v>
      </c>
      <c r="V31">
        <v>63.75</v>
      </c>
      <c r="W31" t="s">
        <v>728</v>
      </c>
    </row>
    <row r="32" spans="1:23">
      <c r="A32" t="s">
        <v>868</v>
      </c>
      <c r="B32" t="s">
        <v>101</v>
      </c>
      <c r="C32" t="s">
        <v>833</v>
      </c>
      <c r="D32">
        <f>80.727 *12</f>
        <v>968.72400000000005</v>
      </c>
      <c r="E32" t="s">
        <v>719</v>
      </c>
      <c r="F32" t="s">
        <v>720</v>
      </c>
      <c r="G32" t="s">
        <v>869</v>
      </c>
      <c r="H32" t="s">
        <v>870</v>
      </c>
      <c r="I32">
        <v>1</v>
      </c>
      <c r="J32" t="s">
        <v>722</v>
      </c>
      <c r="K32" t="s">
        <v>723</v>
      </c>
      <c r="L32">
        <v>11141</v>
      </c>
      <c r="M32" t="s">
        <v>103</v>
      </c>
      <c r="N32" t="s">
        <v>837</v>
      </c>
      <c r="O32">
        <v>0.79101452710120967</v>
      </c>
      <c r="R32" t="s">
        <v>871</v>
      </c>
      <c r="S32" t="s">
        <v>839</v>
      </c>
      <c r="T32" t="s">
        <v>872</v>
      </c>
      <c r="U32">
        <v>1</v>
      </c>
      <c r="V32">
        <v>0.68100000000000005</v>
      </c>
      <c r="W32" t="s">
        <v>728</v>
      </c>
    </row>
    <row r="33" spans="1:23">
      <c r="A33" t="s">
        <v>873</v>
      </c>
      <c r="B33" t="s">
        <v>101</v>
      </c>
      <c r="C33" t="s">
        <v>833</v>
      </c>
      <c r="D33" t="s">
        <v>874</v>
      </c>
      <c r="E33" t="s">
        <v>719</v>
      </c>
      <c r="F33" t="s">
        <v>720</v>
      </c>
      <c r="G33" t="s">
        <v>875</v>
      </c>
      <c r="H33" t="s">
        <v>876</v>
      </c>
      <c r="I33">
        <v>1</v>
      </c>
      <c r="J33" t="s">
        <v>722</v>
      </c>
      <c r="K33" t="s">
        <v>723</v>
      </c>
      <c r="L33">
        <v>11141</v>
      </c>
      <c r="M33" t="s">
        <v>103</v>
      </c>
      <c r="N33" t="s">
        <v>837</v>
      </c>
      <c r="O33">
        <v>0.77856167373902774</v>
      </c>
      <c r="R33" t="s">
        <v>877</v>
      </c>
      <c r="S33" t="s">
        <v>839</v>
      </c>
      <c r="T33" t="s">
        <v>872</v>
      </c>
      <c r="U33">
        <v>1</v>
      </c>
      <c r="V33">
        <v>22.49343</v>
      </c>
      <c r="W33" t="s">
        <v>728</v>
      </c>
    </row>
    <row r="34" spans="1:23">
      <c r="A34" t="s">
        <v>878</v>
      </c>
      <c r="B34" t="s">
        <v>101</v>
      </c>
      <c r="C34" t="s">
        <v>861</v>
      </c>
      <c r="D34">
        <v>78.545000000000002</v>
      </c>
      <c r="E34" t="s">
        <v>719</v>
      </c>
      <c r="F34" t="s">
        <v>720</v>
      </c>
      <c r="G34" t="s">
        <v>879</v>
      </c>
      <c r="H34" t="s">
        <v>880</v>
      </c>
      <c r="I34">
        <v>1</v>
      </c>
      <c r="J34" t="s">
        <v>722</v>
      </c>
      <c r="K34" t="s">
        <v>723</v>
      </c>
      <c r="L34">
        <v>11108</v>
      </c>
      <c r="M34" t="s">
        <v>104</v>
      </c>
      <c r="N34" t="s">
        <v>837</v>
      </c>
      <c r="O34">
        <v>0.64239362923783772</v>
      </c>
      <c r="R34" t="s">
        <v>881</v>
      </c>
      <c r="S34" t="s">
        <v>839</v>
      </c>
      <c r="T34" t="s">
        <v>882</v>
      </c>
      <c r="U34">
        <v>1</v>
      </c>
      <c r="V34">
        <v>44.770650000000003</v>
      </c>
      <c r="W34" t="s">
        <v>728</v>
      </c>
    </row>
    <row r="35" spans="1:23">
      <c r="A35" t="s">
        <v>883</v>
      </c>
      <c r="B35" t="s">
        <v>101</v>
      </c>
      <c r="C35" t="s">
        <v>833</v>
      </c>
      <c r="D35" t="s">
        <v>884</v>
      </c>
      <c r="E35" t="s">
        <v>719</v>
      </c>
      <c r="F35" t="s">
        <v>720</v>
      </c>
      <c r="G35" t="s">
        <v>885</v>
      </c>
      <c r="H35" t="s">
        <v>886</v>
      </c>
      <c r="I35">
        <v>1</v>
      </c>
      <c r="J35" t="s">
        <v>722</v>
      </c>
      <c r="K35" t="s">
        <v>723</v>
      </c>
      <c r="L35">
        <v>11141</v>
      </c>
      <c r="M35" t="s">
        <v>103</v>
      </c>
      <c r="N35" t="s">
        <v>837</v>
      </c>
      <c r="O35">
        <v>0.79517320051226248</v>
      </c>
      <c r="R35" t="s">
        <v>887</v>
      </c>
      <c r="S35" t="s">
        <v>839</v>
      </c>
      <c r="T35" t="s">
        <v>872</v>
      </c>
      <c r="U35">
        <v>1</v>
      </c>
      <c r="V35">
        <v>33.198749999999997</v>
      </c>
      <c r="W35" t="s">
        <v>728</v>
      </c>
    </row>
    <row r="36" spans="1:23">
      <c r="A36" t="s">
        <v>888</v>
      </c>
      <c r="B36" t="s">
        <v>101</v>
      </c>
      <c r="C36" t="s">
        <v>861</v>
      </c>
      <c r="D36">
        <v>78.545000000000002</v>
      </c>
      <c r="E36" t="s">
        <v>719</v>
      </c>
      <c r="F36" t="s">
        <v>720</v>
      </c>
      <c r="G36" t="s">
        <v>889</v>
      </c>
      <c r="H36" t="s">
        <v>890</v>
      </c>
      <c r="I36">
        <v>1</v>
      </c>
      <c r="J36" t="s">
        <v>722</v>
      </c>
      <c r="K36" t="s">
        <v>723</v>
      </c>
      <c r="L36">
        <v>11141</v>
      </c>
      <c r="M36" t="s">
        <v>103</v>
      </c>
      <c r="N36" t="s">
        <v>837</v>
      </c>
      <c r="O36">
        <v>0.64318387007607292</v>
      </c>
      <c r="R36" t="s">
        <v>891</v>
      </c>
      <c r="S36" t="s">
        <v>839</v>
      </c>
      <c r="T36" t="s">
        <v>872</v>
      </c>
      <c r="U36">
        <v>1</v>
      </c>
      <c r="V36">
        <v>53.489145000000008</v>
      </c>
      <c r="W36" t="s">
        <v>728</v>
      </c>
    </row>
    <row r="37" spans="1:23">
      <c r="A37" t="s">
        <v>892</v>
      </c>
      <c r="B37" t="s">
        <v>101</v>
      </c>
      <c r="C37" t="s">
        <v>861</v>
      </c>
      <c r="D37" t="s">
        <v>893</v>
      </c>
      <c r="E37" t="s">
        <v>719</v>
      </c>
      <c r="F37" t="s">
        <v>720</v>
      </c>
      <c r="G37" t="s">
        <v>852</v>
      </c>
      <c r="H37" t="s">
        <v>894</v>
      </c>
      <c r="I37">
        <v>1</v>
      </c>
      <c r="J37" t="s">
        <v>722</v>
      </c>
      <c r="K37" t="s">
        <v>723</v>
      </c>
      <c r="L37">
        <v>11141</v>
      </c>
      <c r="M37" t="s">
        <v>103</v>
      </c>
      <c r="N37" t="s">
        <v>837</v>
      </c>
      <c r="O37">
        <v>0.6416259032190651</v>
      </c>
      <c r="R37" t="s">
        <v>895</v>
      </c>
      <c r="S37" t="s">
        <v>839</v>
      </c>
      <c r="T37" t="s">
        <v>872</v>
      </c>
      <c r="U37">
        <v>1</v>
      </c>
      <c r="V37">
        <v>53.492550000000001</v>
      </c>
      <c r="W37" t="s">
        <v>728</v>
      </c>
    </row>
    <row r="38" spans="1:23">
      <c r="A38" t="s">
        <v>896</v>
      </c>
      <c r="B38" t="s">
        <v>101</v>
      </c>
      <c r="C38" t="s">
        <v>833</v>
      </c>
      <c r="D38" t="s">
        <v>874</v>
      </c>
      <c r="E38" t="s">
        <v>719</v>
      </c>
      <c r="F38" t="s">
        <v>720</v>
      </c>
      <c r="G38" t="s">
        <v>897</v>
      </c>
      <c r="H38" t="s">
        <v>898</v>
      </c>
      <c r="I38">
        <v>1</v>
      </c>
      <c r="J38" t="s">
        <v>722</v>
      </c>
      <c r="K38" t="s">
        <v>723</v>
      </c>
      <c r="L38">
        <v>11141</v>
      </c>
      <c r="M38" t="s">
        <v>103</v>
      </c>
      <c r="N38" t="s">
        <v>837</v>
      </c>
      <c r="O38">
        <v>0.78140429637814846</v>
      </c>
      <c r="R38" t="s">
        <v>899</v>
      </c>
      <c r="S38" t="s">
        <v>839</v>
      </c>
      <c r="T38" t="s">
        <v>872</v>
      </c>
      <c r="U38">
        <v>1</v>
      </c>
      <c r="V38">
        <v>22.49343</v>
      </c>
      <c r="W38" t="s">
        <v>728</v>
      </c>
    </row>
    <row r="39" spans="1:23">
      <c r="A39" t="s">
        <v>900</v>
      </c>
      <c r="B39" t="s">
        <v>101</v>
      </c>
      <c r="C39" t="s">
        <v>833</v>
      </c>
      <c r="D39" t="s">
        <v>901</v>
      </c>
      <c r="E39" t="s">
        <v>719</v>
      </c>
      <c r="F39" t="s">
        <v>720</v>
      </c>
      <c r="G39" t="s">
        <v>902</v>
      </c>
      <c r="H39" t="s">
        <v>903</v>
      </c>
      <c r="I39">
        <v>1</v>
      </c>
      <c r="J39" t="s">
        <v>722</v>
      </c>
      <c r="K39" t="s">
        <v>723</v>
      </c>
      <c r="L39">
        <v>11141</v>
      </c>
      <c r="M39" t="s">
        <v>103</v>
      </c>
      <c r="N39" t="s">
        <v>837</v>
      </c>
      <c r="O39">
        <v>0.78828557734517113</v>
      </c>
      <c r="R39" t="s">
        <v>904</v>
      </c>
      <c r="S39" t="s">
        <v>839</v>
      </c>
      <c r="T39" t="s">
        <v>872</v>
      </c>
      <c r="U39">
        <v>1</v>
      </c>
      <c r="V39">
        <v>42.841709999999999</v>
      </c>
      <c r="W39" t="s">
        <v>728</v>
      </c>
    </row>
    <row r="40" spans="1:23">
      <c r="A40" t="s">
        <v>905</v>
      </c>
      <c r="B40" t="s">
        <v>101</v>
      </c>
      <c r="C40" t="s">
        <v>861</v>
      </c>
      <c r="D40" t="s">
        <v>893</v>
      </c>
      <c r="E40" t="s">
        <v>719</v>
      </c>
      <c r="F40" t="s">
        <v>720</v>
      </c>
      <c r="G40" t="s">
        <v>906</v>
      </c>
      <c r="H40" t="s">
        <v>894</v>
      </c>
      <c r="I40">
        <v>1</v>
      </c>
      <c r="J40" t="s">
        <v>722</v>
      </c>
      <c r="K40" t="s">
        <v>723</v>
      </c>
      <c r="L40">
        <v>11141</v>
      </c>
      <c r="M40" t="s">
        <v>103</v>
      </c>
      <c r="N40" t="s">
        <v>837</v>
      </c>
      <c r="O40">
        <v>0.65297955093704541</v>
      </c>
      <c r="R40" t="s">
        <v>907</v>
      </c>
      <c r="S40" t="s">
        <v>839</v>
      </c>
      <c r="T40" t="s">
        <v>872</v>
      </c>
      <c r="U40">
        <v>1</v>
      </c>
      <c r="V40">
        <v>53.492550000000001</v>
      </c>
      <c r="W40" t="s">
        <v>728</v>
      </c>
    </row>
    <row r="41" spans="1:23">
      <c r="A41" t="s">
        <v>908</v>
      </c>
      <c r="B41" t="s">
        <v>101</v>
      </c>
      <c r="C41" t="s">
        <v>861</v>
      </c>
      <c r="D41" t="s">
        <v>893</v>
      </c>
      <c r="E41" t="s">
        <v>719</v>
      </c>
      <c r="F41" t="s">
        <v>720</v>
      </c>
      <c r="G41" t="s">
        <v>909</v>
      </c>
      <c r="H41" t="s">
        <v>894</v>
      </c>
      <c r="I41">
        <v>1</v>
      </c>
      <c r="J41" t="s">
        <v>722</v>
      </c>
      <c r="K41" t="s">
        <v>723</v>
      </c>
      <c r="L41">
        <v>11141</v>
      </c>
      <c r="M41" t="s">
        <v>103</v>
      </c>
      <c r="N41" t="s">
        <v>837</v>
      </c>
      <c r="O41">
        <v>0.64161559043439143</v>
      </c>
      <c r="R41" t="s">
        <v>910</v>
      </c>
      <c r="S41" t="s">
        <v>839</v>
      </c>
      <c r="T41" t="s">
        <v>872</v>
      </c>
      <c r="U41">
        <v>1</v>
      </c>
      <c r="V41">
        <v>53.492550000000001</v>
      </c>
      <c r="W41" t="s">
        <v>728</v>
      </c>
    </row>
    <row r="42" spans="1:23">
      <c r="A42" t="s">
        <v>911</v>
      </c>
      <c r="B42" t="s">
        <v>101</v>
      </c>
      <c r="C42" t="s">
        <v>833</v>
      </c>
      <c r="D42" t="s">
        <v>893</v>
      </c>
      <c r="E42" t="s">
        <v>719</v>
      </c>
      <c r="F42" t="s">
        <v>720</v>
      </c>
      <c r="G42" t="s">
        <v>909</v>
      </c>
      <c r="H42" t="s">
        <v>912</v>
      </c>
      <c r="I42">
        <v>1</v>
      </c>
      <c r="J42" t="s">
        <v>722</v>
      </c>
      <c r="K42" t="s">
        <v>723</v>
      </c>
      <c r="L42">
        <v>11141</v>
      </c>
      <c r="M42" t="s">
        <v>103</v>
      </c>
      <c r="N42" t="s">
        <v>837</v>
      </c>
      <c r="O42">
        <v>0.78691460014530823</v>
      </c>
      <c r="R42" t="s">
        <v>913</v>
      </c>
      <c r="S42" t="s">
        <v>839</v>
      </c>
      <c r="T42" t="s">
        <v>872</v>
      </c>
      <c r="U42">
        <v>1</v>
      </c>
      <c r="V42">
        <v>53.492550000000001</v>
      </c>
      <c r="W42" t="s">
        <v>728</v>
      </c>
    </row>
    <row r="43" spans="1:23">
      <c r="A43" t="s">
        <v>914</v>
      </c>
      <c r="B43" t="s">
        <v>105</v>
      </c>
      <c r="C43" t="s">
        <v>861</v>
      </c>
      <c r="D43" t="s">
        <v>915</v>
      </c>
      <c r="E43" t="s">
        <v>719</v>
      </c>
      <c r="F43" t="s">
        <v>916</v>
      </c>
      <c r="G43" t="s">
        <v>917</v>
      </c>
      <c r="H43" t="s">
        <v>918</v>
      </c>
      <c r="I43">
        <v>1</v>
      </c>
      <c r="J43" t="s">
        <v>722</v>
      </c>
      <c r="K43" t="s">
        <v>723</v>
      </c>
      <c r="L43">
        <v>17091</v>
      </c>
      <c r="M43" t="s">
        <v>107</v>
      </c>
      <c r="N43" t="s">
        <v>919</v>
      </c>
      <c r="O43">
        <v>0.57381892381511013</v>
      </c>
      <c r="R43" t="s">
        <v>920</v>
      </c>
      <c r="S43" t="s">
        <v>921</v>
      </c>
      <c r="T43" t="s">
        <v>922</v>
      </c>
      <c r="U43">
        <v>1</v>
      </c>
      <c r="V43">
        <v>3760.89</v>
      </c>
      <c r="W43" t="s">
        <v>728</v>
      </c>
    </row>
    <row r="44" spans="1:23">
      <c r="A44" t="s">
        <v>923</v>
      </c>
      <c r="B44" t="s">
        <v>101</v>
      </c>
      <c r="C44" t="s">
        <v>833</v>
      </c>
      <c r="D44" t="s">
        <v>924</v>
      </c>
      <c r="E44" t="s">
        <v>719</v>
      </c>
      <c r="F44" t="s">
        <v>720</v>
      </c>
      <c r="G44" t="s">
        <v>925</v>
      </c>
      <c r="H44" t="s">
        <v>926</v>
      </c>
      <c r="I44">
        <v>1</v>
      </c>
      <c r="J44" t="s">
        <v>722</v>
      </c>
      <c r="K44" t="s">
        <v>723</v>
      </c>
      <c r="L44">
        <v>11141</v>
      </c>
      <c r="M44" t="s">
        <v>103</v>
      </c>
      <c r="N44" t="s">
        <v>837</v>
      </c>
      <c r="O44">
        <v>0.78171529968391118</v>
      </c>
      <c r="R44" t="s">
        <v>927</v>
      </c>
      <c r="S44" t="s">
        <v>839</v>
      </c>
      <c r="T44" t="s">
        <v>872</v>
      </c>
      <c r="U44">
        <v>1</v>
      </c>
      <c r="V44">
        <v>28.91526</v>
      </c>
      <c r="W44" t="s">
        <v>728</v>
      </c>
    </row>
    <row r="45" spans="1:23">
      <c r="A45" t="s">
        <v>928</v>
      </c>
      <c r="B45" t="s">
        <v>101</v>
      </c>
      <c r="C45" t="s">
        <v>861</v>
      </c>
      <c r="D45" t="s">
        <v>893</v>
      </c>
      <c r="E45" t="s">
        <v>719</v>
      </c>
      <c r="F45" t="s">
        <v>720</v>
      </c>
      <c r="G45" t="s">
        <v>929</v>
      </c>
      <c r="H45" t="s">
        <v>890</v>
      </c>
      <c r="I45">
        <v>1</v>
      </c>
      <c r="J45" t="s">
        <v>722</v>
      </c>
      <c r="K45" t="s">
        <v>723</v>
      </c>
      <c r="L45">
        <v>11141</v>
      </c>
      <c r="M45" t="s">
        <v>103</v>
      </c>
      <c r="N45" t="s">
        <v>837</v>
      </c>
      <c r="O45">
        <v>0.64075232353942235</v>
      </c>
      <c r="R45" t="s">
        <v>930</v>
      </c>
      <c r="S45" t="s">
        <v>839</v>
      </c>
      <c r="T45" t="s">
        <v>872</v>
      </c>
      <c r="U45">
        <v>1</v>
      </c>
      <c r="V45">
        <v>53.492550000000001</v>
      </c>
      <c r="W45" t="s">
        <v>728</v>
      </c>
    </row>
    <row r="46" spans="1:23">
      <c r="A46" t="s">
        <v>931</v>
      </c>
      <c r="B46" t="s">
        <v>101</v>
      </c>
      <c r="C46" t="s">
        <v>861</v>
      </c>
      <c r="D46" t="s">
        <v>893</v>
      </c>
      <c r="E46" t="s">
        <v>719</v>
      </c>
      <c r="F46" t="s">
        <v>720</v>
      </c>
      <c r="G46" t="s">
        <v>929</v>
      </c>
      <c r="H46" t="s">
        <v>890</v>
      </c>
      <c r="I46">
        <v>1</v>
      </c>
      <c r="J46" t="s">
        <v>722</v>
      </c>
      <c r="K46" t="s">
        <v>723</v>
      </c>
      <c r="L46">
        <v>11141</v>
      </c>
      <c r="M46" t="s">
        <v>103</v>
      </c>
      <c r="N46" t="s">
        <v>837</v>
      </c>
      <c r="O46">
        <v>0.64075232353942235</v>
      </c>
      <c r="R46" t="s">
        <v>930</v>
      </c>
      <c r="S46" t="s">
        <v>839</v>
      </c>
      <c r="T46" t="s">
        <v>872</v>
      </c>
      <c r="U46">
        <v>1</v>
      </c>
      <c r="V46">
        <v>53.492550000000001</v>
      </c>
      <c r="W46" t="s">
        <v>728</v>
      </c>
    </row>
    <row r="47" spans="1:23">
      <c r="A47" t="s">
        <v>932</v>
      </c>
      <c r="B47" t="s">
        <v>101</v>
      </c>
      <c r="C47" t="s">
        <v>861</v>
      </c>
      <c r="D47" t="s">
        <v>893</v>
      </c>
      <c r="E47" t="s">
        <v>719</v>
      </c>
      <c r="F47" t="s">
        <v>720</v>
      </c>
      <c r="G47" t="s">
        <v>933</v>
      </c>
      <c r="H47" t="s">
        <v>890</v>
      </c>
      <c r="I47">
        <v>1</v>
      </c>
      <c r="J47" t="s">
        <v>722</v>
      </c>
      <c r="K47" t="s">
        <v>723</v>
      </c>
      <c r="L47">
        <v>11141</v>
      </c>
      <c r="M47" t="s">
        <v>103</v>
      </c>
      <c r="N47" t="s">
        <v>837</v>
      </c>
      <c r="O47">
        <v>0.64077100196835834</v>
      </c>
      <c r="R47" t="s">
        <v>930</v>
      </c>
      <c r="S47" t="s">
        <v>839</v>
      </c>
      <c r="T47" t="s">
        <v>872</v>
      </c>
      <c r="U47">
        <v>1</v>
      </c>
      <c r="V47">
        <v>53.492550000000001</v>
      </c>
      <c r="W47" t="s">
        <v>728</v>
      </c>
    </row>
    <row r="48" spans="1:23">
      <c r="A48" t="s">
        <v>934</v>
      </c>
      <c r="B48" t="s">
        <v>101</v>
      </c>
      <c r="C48" t="s">
        <v>833</v>
      </c>
      <c r="D48" t="s">
        <v>935</v>
      </c>
      <c r="E48" t="s">
        <v>719</v>
      </c>
      <c r="F48" t="s">
        <v>720</v>
      </c>
      <c r="G48" t="s">
        <v>936</v>
      </c>
      <c r="H48" t="s">
        <v>937</v>
      </c>
      <c r="I48">
        <v>1</v>
      </c>
      <c r="J48" t="s">
        <v>722</v>
      </c>
      <c r="K48" t="s">
        <v>723</v>
      </c>
      <c r="L48">
        <v>11141</v>
      </c>
      <c r="M48" t="s">
        <v>103</v>
      </c>
      <c r="N48" t="s">
        <v>837</v>
      </c>
      <c r="O48">
        <v>0.78151186437006182</v>
      </c>
      <c r="R48" t="s">
        <v>938</v>
      </c>
      <c r="S48" t="s">
        <v>839</v>
      </c>
      <c r="T48" t="s">
        <v>872</v>
      </c>
      <c r="U48">
        <v>1</v>
      </c>
      <c r="V48">
        <v>44.980049999999999</v>
      </c>
      <c r="W48" t="s">
        <v>728</v>
      </c>
    </row>
    <row r="49" spans="1:23">
      <c r="A49" t="s">
        <v>939</v>
      </c>
      <c r="B49" t="s">
        <v>101</v>
      </c>
      <c r="C49" t="s">
        <v>861</v>
      </c>
      <c r="D49" t="s">
        <v>893</v>
      </c>
      <c r="E49" t="s">
        <v>719</v>
      </c>
      <c r="F49" t="s">
        <v>720</v>
      </c>
      <c r="G49" t="s">
        <v>940</v>
      </c>
      <c r="H49" t="s">
        <v>894</v>
      </c>
      <c r="I49">
        <v>1</v>
      </c>
      <c r="J49" t="s">
        <v>722</v>
      </c>
      <c r="K49" t="s">
        <v>723</v>
      </c>
      <c r="L49">
        <v>11141</v>
      </c>
      <c r="M49" t="s">
        <v>103</v>
      </c>
      <c r="N49" t="s">
        <v>837</v>
      </c>
      <c r="O49">
        <v>0.64161559043439143</v>
      </c>
      <c r="R49" t="s">
        <v>910</v>
      </c>
      <c r="S49" t="s">
        <v>839</v>
      </c>
      <c r="T49" t="s">
        <v>872</v>
      </c>
      <c r="U49">
        <v>1</v>
      </c>
      <c r="V49">
        <v>53.492550000000001</v>
      </c>
      <c r="W49" t="s">
        <v>728</v>
      </c>
    </row>
    <row r="50" spans="1:23">
      <c r="A50" t="s">
        <v>941</v>
      </c>
      <c r="B50" t="s">
        <v>101</v>
      </c>
      <c r="C50" t="s">
        <v>861</v>
      </c>
      <c r="D50" t="s">
        <v>942</v>
      </c>
      <c r="E50" t="s">
        <v>719</v>
      </c>
      <c r="F50" t="s">
        <v>720</v>
      </c>
      <c r="G50" t="s">
        <v>943</v>
      </c>
      <c r="H50" t="s">
        <v>894</v>
      </c>
      <c r="I50">
        <v>1</v>
      </c>
      <c r="J50" t="s">
        <v>722</v>
      </c>
      <c r="K50" t="s">
        <v>723</v>
      </c>
      <c r="L50">
        <v>11141</v>
      </c>
      <c r="M50" t="s">
        <v>103</v>
      </c>
      <c r="N50" t="s">
        <v>837</v>
      </c>
      <c r="O50">
        <v>0.65107636498118227</v>
      </c>
      <c r="R50" t="s">
        <v>944</v>
      </c>
      <c r="S50" t="s">
        <v>839</v>
      </c>
      <c r="T50" t="s">
        <v>872</v>
      </c>
      <c r="U50">
        <v>1</v>
      </c>
      <c r="V50">
        <v>54.97713000000001</v>
      </c>
      <c r="W50" t="s">
        <v>728</v>
      </c>
    </row>
    <row r="51" spans="1:23">
      <c r="A51" t="s">
        <v>945</v>
      </c>
      <c r="B51" t="s">
        <v>101</v>
      </c>
      <c r="C51" t="s">
        <v>833</v>
      </c>
      <c r="D51" t="s">
        <v>942</v>
      </c>
      <c r="E51" t="s">
        <v>719</v>
      </c>
      <c r="F51" t="s">
        <v>720</v>
      </c>
      <c r="G51" t="s">
        <v>946</v>
      </c>
      <c r="H51" t="s">
        <v>947</v>
      </c>
      <c r="I51">
        <v>1</v>
      </c>
      <c r="J51" t="s">
        <v>722</v>
      </c>
      <c r="K51" t="s">
        <v>723</v>
      </c>
      <c r="L51">
        <v>11141</v>
      </c>
      <c r="M51" t="s">
        <v>103</v>
      </c>
      <c r="N51" t="s">
        <v>837</v>
      </c>
      <c r="O51">
        <v>0.78602263009350315</v>
      </c>
      <c r="R51" t="s">
        <v>948</v>
      </c>
      <c r="S51" t="s">
        <v>839</v>
      </c>
      <c r="T51" t="s">
        <v>872</v>
      </c>
      <c r="U51">
        <v>1</v>
      </c>
      <c r="V51">
        <v>54.97713000000001</v>
      </c>
      <c r="W51" t="s">
        <v>728</v>
      </c>
    </row>
    <row r="52" spans="1:23">
      <c r="A52" t="s">
        <v>949</v>
      </c>
      <c r="B52" t="s">
        <v>108</v>
      </c>
      <c r="C52" t="s">
        <v>861</v>
      </c>
      <c r="D52" t="s">
        <v>950</v>
      </c>
      <c r="E52" t="s">
        <v>719</v>
      </c>
      <c r="F52" t="s">
        <v>720</v>
      </c>
      <c r="G52" t="s">
        <v>951</v>
      </c>
      <c r="I52">
        <v>1</v>
      </c>
      <c r="J52" t="s">
        <v>722</v>
      </c>
      <c r="K52" t="s">
        <v>723</v>
      </c>
      <c r="L52">
        <v>13542</v>
      </c>
      <c r="M52" t="s">
        <v>109</v>
      </c>
      <c r="N52" t="s">
        <v>952</v>
      </c>
      <c r="O52">
        <v>0.52937571773189807</v>
      </c>
      <c r="R52" t="s">
        <v>953</v>
      </c>
      <c r="S52" t="s">
        <v>954</v>
      </c>
      <c r="T52" t="s">
        <v>955</v>
      </c>
      <c r="U52">
        <v>1</v>
      </c>
      <c r="V52">
        <v>43333.55</v>
      </c>
      <c r="W52" t="s">
        <v>728</v>
      </c>
    </row>
    <row r="53" spans="1:23">
      <c r="A53" t="s">
        <v>956</v>
      </c>
      <c r="B53" t="s">
        <v>110</v>
      </c>
      <c r="C53" t="s">
        <v>298</v>
      </c>
      <c r="D53" t="s">
        <v>957</v>
      </c>
      <c r="E53" t="s">
        <v>719</v>
      </c>
      <c r="F53" t="s">
        <v>720</v>
      </c>
      <c r="G53" t="s">
        <v>958</v>
      </c>
      <c r="I53">
        <v>1</v>
      </c>
      <c r="J53" t="s">
        <v>722</v>
      </c>
      <c r="K53" t="s">
        <v>723</v>
      </c>
      <c r="L53">
        <v>16212</v>
      </c>
      <c r="M53" t="s">
        <v>112</v>
      </c>
      <c r="N53" t="s">
        <v>733</v>
      </c>
      <c r="O53">
        <v>0.52930408172944088</v>
      </c>
      <c r="R53" t="s">
        <v>959</v>
      </c>
      <c r="S53" t="s">
        <v>735</v>
      </c>
      <c r="T53" t="s">
        <v>960</v>
      </c>
      <c r="U53">
        <v>1</v>
      </c>
      <c r="V53">
        <v>11931.75</v>
      </c>
      <c r="W53" t="s">
        <v>728</v>
      </c>
    </row>
    <row r="54" spans="1:23">
      <c r="A54" t="s">
        <v>961</v>
      </c>
      <c r="B54" t="s">
        <v>113</v>
      </c>
      <c r="C54" t="s">
        <v>738</v>
      </c>
      <c r="D54" t="s">
        <v>962</v>
      </c>
      <c r="E54" t="s">
        <v>719</v>
      </c>
      <c r="F54" t="s">
        <v>720</v>
      </c>
      <c r="G54" t="s">
        <v>963</v>
      </c>
      <c r="I54">
        <v>1</v>
      </c>
      <c r="J54" t="s">
        <v>722</v>
      </c>
      <c r="K54" t="s">
        <v>723</v>
      </c>
      <c r="L54">
        <v>16207</v>
      </c>
      <c r="M54" t="s">
        <v>69</v>
      </c>
      <c r="N54" t="s">
        <v>733</v>
      </c>
      <c r="O54">
        <v>0.41266569166377542</v>
      </c>
      <c r="R54" t="s">
        <v>964</v>
      </c>
      <c r="S54" t="s">
        <v>735</v>
      </c>
      <c r="T54" t="s">
        <v>784</v>
      </c>
      <c r="U54">
        <v>1</v>
      </c>
      <c r="V54">
        <v>16320</v>
      </c>
      <c r="W54" t="s">
        <v>728</v>
      </c>
    </row>
    <row r="55" spans="1:23">
      <c r="A55" t="s">
        <v>965</v>
      </c>
      <c r="B55" t="s">
        <v>115</v>
      </c>
      <c r="C55" t="s">
        <v>966</v>
      </c>
      <c r="D55" t="s">
        <v>967</v>
      </c>
      <c r="E55" t="s">
        <v>116</v>
      </c>
      <c r="F55" t="s">
        <v>720</v>
      </c>
      <c r="G55" t="s">
        <v>968</v>
      </c>
      <c r="L55">
        <v>17356</v>
      </c>
      <c r="M55" t="s">
        <v>117</v>
      </c>
      <c r="N55" t="s">
        <v>969</v>
      </c>
      <c r="O55">
        <v>0.3999359440866076</v>
      </c>
      <c r="R55" t="s">
        <v>970</v>
      </c>
      <c r="S55" t="s">
        <v>971</v>
      </c>
      <c r="T55" t="s">
        <v>972</v>
      </c>
      <c r="U55">
        <v>1</v>
      </c>
      <c r="V55">
        <v>1428</v>
      </c>
      <c r="W55" t="s">
        <v>728</v>
      </c>
    </row>
    <row r="56" spans="1:23">
      <c r="A56" t="s">
        <v>973</v>
      </c>
      <c r="B56" t="s">
        <v>118</v>
      </c>
      <c r="C56" t="s">
        <v>966</v>
      </c>
      <c r="D56" t="s">
        <v>974</v>
      </c>
      <c r="E56" t="s">
        <v>719</v>
      </c>
      <c r="F56" t="s">
        <v>720</v>
      </c>
      <c r="L56">
        <v>7564</v>
      </c>
      <c r="M56" t="s">
        <v>119</v>
      </c>
      <c r="N56" t="s">
        <v>724</v>
      </c>
      <c r="O56">
        <v>0.38876338319891263</v>
      </c>
      <c r="R56" t="s">
        <v>975</v>
      </c>
      <c r="S56" t="s">
        <v>726</v>
      </c>
      <c r="T56" t="s">
        <v>976</v>
      </c>
      <c r="U56">
        <v>1</v>
      </c>
      <c r="V56">
        <v>1152800</v>
      </c>
      <c r="W56" t="s">
        <v>728</v>
      </c>
    </row>
    <row r="57" spans="1:23">
      <c r="A57" t="s">
        <v>977</v>
      </c>
      <c r="B57" t="s">
        <v>120</v>
      </c>
      <c r="C57" t="s">
        <v>861</v>
      </c>
      <c r="D57">
        <v>7250</v>
      </c>
      <c r="E57" t="s">
        <v>719</v>
      </c>
      <c r="F57" t="s">
        <v>720</v>
      </c>
      <c r="L57">
        <v>16207</v>
      </c>
      <c r="M57" t="s">
        <v>69</v>
      </c>
      <c r="N57" t="s">
        <v>733</v>
      </c>
      <c r="O57">
        <v>0.60793637510160758</v>
      </c>
      <c r="R57" t="s">
        <v>978</v>
      </c>
      <c r="S57" t="s">
        <v>735</v>
      </c>
      <c r="T57" t="s">
        <v>784</v>
      </c>
      <c r="U57">
        <v>1</v>
      </c>
      <c r="V57">
        <v>739500</v>
      </c>
      <c r="W57" t="s">
        <v>728</v>
      </c>
    </row>
    <row r="58" spans="1:23">
      <c r="A58" t="s">
        <v>979</v>
      </c>
      <c r="B58" t="s">
        <v>121</v>
      </c>
      <c r="C58" t="s">
        <v>966</v>
      </c>
      <c r="D58" t="s">
        <v>980</v>
      </c>
      <c r="E58" t="s">
        <v>746</v>
      </c>
      <c r="F58" t="s">
        <v>720</v>
      </c>
      <c r="G58" t="s">
        <v>981</v>
      </c>
      <c r="L58">
        <v>16216</v>
      </c>
      <c r="M58" t="s">
        <v>123</v>
      </c>
      <c r="N58" t="s">
        <v>724</v>
      </c>
      <c r="O58">
        <v>0.50458969843250789</v>
      </c>
      <c r="R58" t="s">
        <v>982</v>
      </c>
      <c r="S58" t="s">
        <v>983</v>
      </c>
      <c r="T58" t="s">
        <v>984</v>
      </c>
      <c r="U58">
        <v>1</v>
      </c>
      <c r="V58">
        <v>212196.75</v>
      </c>
      <c r="W58" t="s">
        <v>728</v>
      </c>
    </row>
    <row r="59" spans="1:23">
      <c r="A59" t="s">
        <v>985</v>
      </c>
      <c r="B59" t="s">
        <v>124</v>
      </c>
      <c r="C59" t="s">
        <v>966</v>
      </c>
      <c r="D59">
        <v>2686</v>
      </c>
      <c r="E59" t="s">
        <v>719</v>
      </c>
      <c r="F59" t="s">
        <v>986</v>
      </c>
      <c r="G59" t="s">
        <v>987</v>
      </c>
      <c r="I59">
        <v>1</v>
      </c>
      <c r="J59" t="s">
        <v>722</v>
      </c>
      <c r="K59" t="s">
        <v>723</v>
      </c>
      <c r="L59">
        <v>16217</v>
      </c>
      <c r="M59" t="s">
        <v>125</v>
      </c>
      <c r="N59" t="s">
        <v>733</v>
      </c>
      <c r="O59">
        <v>0.4232497899758092</v>
      </c>
      <c r="R59" t="s">
        <v>988</v>
      </c>
      <c r="S59" t="s">
        <v>735</v>
      </c>
      <c r="T59" t="s">
        <v>989</v>
      </c>
      <c r="U59">
        <v>1</v>
      </c>
      <c r="V59">
        <v>177276</v>
      </c>
      <c r="W59" t="s">
        <v>728</v>
      </c>
    </row>
    <row r="60" spans="1:23">
      <c r="A60" t="s">
        <v>990</v>
      </c>
      <c r="B60" t="s">
        <v>126</v>
      </c>
      <c r="C60" t="s">
        <v>861</v>
      </c>
      <c r="D60" t="s">
        <v>991</v>
      </c>
      <c r="E60" t="s">
        <v>719</v>
      </c>
      <c r="F60" t="s">
        <v>986</v>
      </c>
      <c r="G60" t="s">
        <v>992</v>
      </c>
      <c r="I60">
        <v>1</v>
      </c>
      <c r="J60" t="s">
        <v>722</v>
      </c>
      <c r="K60" t="s">
        <v>723</v>
      </c>
      <c r="L60">
        <v>16217</v>
      </c>
      <c r="M60" t="s">
        <v>125</v>
      </c>
      <c r="N60" t="s">
        <v>733</v>
      </c>
      <c r="O60">
        <v>0.43286789635104811</v>
      </c>
      <c r="R60" t="s">
        <v>993</v>
      </c>
      <c r="S60" t="s">
        <v>735</v>
      </c>
      <c r="T60" t="s">
        <v>989</v>
      </c>
      <c r="U60">
        <v>1</v>
      </c>
      <c r="V60">
        <v>310200</v>
      </c>
      <c r="W60" t="s">
        <v>728</v>
      </c>
    </row>
    <row r="61" spans="1:23">
      <c r="A61" t="s">
        <v>994</v>
      </c>
      <c r="B61" t="s">
        <v>118</v>
      </c>
      <c r="C61" t="s">
        <v>966</v>
      </c>
      <c r="D61" t="s">
        <v>995</v>
      </c>
      <c r="E61" t="s">
        <v>719</v>
      </c>
      <c r="F61" t="s">
        <v>863</v>
      </c>
      <c r="G61" t="s">
        <v>996</v>
      </c>
      <c r="I61">
        <v>1</v>
      </c>
      <c r="J61" t="s">
        <v>722</v>
      </c>
      <c r="K61" t="s">
        <v>723</v>
      </c>
      <c r="L61">
        <v>17344</v>
      </c>
      <c r="M61" t="s">
        <v>117</v>
      </c>
      <c r="N61" t="s">
        <v>969</v>
      </c>
      <c r="O61">
        <v>0.32136367671294369</v>
      </c>
      <c r="R61" t="s">
        <v>997</v>
      </c>
      <c r="S61" t="s">
        <v>998</v>
      </c>
      <c r="T61" t="s">
        <v>999</v>
      </c>
      <c r="U61">
        <v>1</v>
      </c>
      <c r="V61">
        <v>186000</v>
      </c>
      <c r="W61" t="s">
        <v>728</v>
      </c>
    </row>
    <row r="62" spans="1:23">
      <c r="A62" t="s">
        <v>1000</v>
      </c>
      <c r="B62" t="s">
        <v>129</v>
      </c>
      <c r="C62" t="s">
        <v>861</v>
      </c>
      <c r="D62">
        <v>249</v>
      </c>
      <c r="E62" t="s">
        <v>719</v>
      </c>
      <c r="F62" t="s">
        <v>720</v>
      </c>
      <c r="G62" t="s">
        <v>1001</v>
      </c>
      <c r="I62">
        <v>1</v>
      </c>
      <c r="J62" t="s">
        <v>722</v>
      </c>
      <c r="K62" t="s">
        <v>723</v>
      </c>
      <c r="L62">
        <v>4710</v>
      </c>
      <c r="M62" t="s">
        <v>131</v>
      </c>
      <c r="N62" t="s">
        <v>1002</v>
      </c>
      <c r="O62">
        <v>0.58073725349783201</v>
      </c>
      <c r="R62" t="s">
        <v>1003</v>
      </c>
      <c r="S62" t="s">
        <v>1004</v>
      </c>
      <c r="T62" t="s">
        <v>1005</v>
      </c>
      <c r="U62">
        <v>1</v>
      </c>
      <c r="V62">
        <v>0</v>
      </c>
      <c r="W62" t="s">
        <v>728</v>
      </c>
    </row>
    <row r="63" spans="1:23">
      <c r="A63" t="s">
        <v>1006</v>
      </c>
      <c r="B63" t="s">
        <v>133</v>
      </c>
      <c r="C63" t="s">
        <v>861</v>
      </c>
      <c r="D63">
        <v>49.6</v>
      </c>
      <c r="E63" t="s">
        <v>719</v>
      </c>
      <c r="F63" t="s">
        <v>720</v>
      </c>
      <c r="G63" t="s">
        <v>1007</v>
      </c>
      <c r="I63">
        <v>1</v>
      </c>
      <c r="J63" t="s">
        <v>722</v>
      </c>
      <c r="K63" t="s">
        <v>723</v>
      </c>
      <c r="L63">
        <v>16207</v>
      </c>
      <c r="M63" t="s">
        <v>69</v>
      </c>
      <c r="N63" t="s">
        <v>733</v>
      </c>
      <c r="O63">
        <v>0.55189233125610337</v>
      </c>
      <c r="R63" t="s">
        <v>1008</v>
      </c>
      <c r="S63" t="s">
        <v>735</v>
      </c>
      <c r="T63" t="s">
        <v>784</v>
      </c>
      <c r="U63">
        <v>1</v>
      </c>
      <c r="V63">
        <v>5059.2</v>
      </c>
      <c r="W63" t="s">
        <v>728</v>
      </c>
    </row>
    <row r="64" spans="1:23">
      <c r="A64" t="s">
        <v>1009</v>
      </c>
      <c r="B64" t="s">
        <v>120</v>
      </c>
      <c r="C64" t="s">
        <v>861</v>
      </c>
      <c r="D64" t="s">
        <v>1010</v>
      </c>
      <c r="E64" t="s">
        <v>719</v>
      </c>
      <c r="F64" t="s">
        <v>720</v>
      </c>
      <c r="G64" t="s">
        <v>1001</v>
      </c>
      <c r="I64">
        <v>1</v>
      </c>
      <c r="J64" t="s">
        <v>722</v>
      </c>
      <c r="K64" t="s">
        <v>723</v>
      </c>
      <c r="L64">
        <v>16160</v>
      </c>
      <c r="M64" t="s">
        <v>135</v>
      </c>
      <c r="N64" t="s">
        <v>1011</v>
      </c>
      <c r="O64">
        <v>0.6145284561306894</v>
      </c>
      <c r="R64" t="s">
        <v>1012</v>
      </c>
      <c r="S64" t="s">
        <v>1013</v>
      </c>
      <c r="T64" t="s">
        <v>1014</v>
      </c>
      <c r="U64">
        <v>1E-3</v>
      </c>
      <c r="V64">
        <v>42.33</v>
      </c>
      <c r="W64" t="s">
        <v>728</v>
      </c>
    </row>
    <row r="65" spans="1:23">
      <c r="A65" t="s">
        <v>1015</v>
      </c>
      <c r="B65" t="s">
        <v>113</v>
      </c>
      <c r="C65" t="s">
        <v>738</v>
      </c>
      <c r="D65">
        <v>19.899999999999999</v>
      </c>
      <c r="E65" t="s">
        <v>719</v>
      </c>
      <c r="F65" t="s">
        <v>720</v>
      </c>
      <c r="G65" t="s">
        <v>1016</v>
      </c>
      <c r="I65">
        <v>1</v>
      </c>
      <c r="J65" t="s">
        <v>722</v>
      </c>
      <c r="K65" t="s">
        <v>723</v>
      </c>
      <c r="L65">
        <v>16203</v>
      </c>
      <c r="M65" t="s">
        <v>136</v>
      </c>
      <c r="N65" t="s">
        <v>795</v>
      </c>
      <c r="O65">
        <v>0.41388493675422899</v>
      </c>
      <c r="R65" t="s">
        <v>1017</v>
      </c>
      <c r="S65" t="s">
        <v>797</v>
      </c>
      <c r="T65" t="s">
        <v>1018</v>
      </c>
      <c r="U65">
        <v>1</v>
      </c>
      <c r="V65">
        <v>2109.4</v>
      </c>
      <c r="W65" t="s">
        <v>728</v>
      </c>
    </row>
    <row r="66" spans="1:23">
      <c r="A66" t="s">
        <v>1019</v>
      </c>
      <c r="B66" t="s">
        <v>1020</v>
      </c>
      <c r="C66" t="s">
        <v>738</v>
      </c>
      <c r="D66" t="s">
        <v>1021</v>
      </c>
      <c r="E66" t="s">
        <v>719</v>
      </c>
      <c r="F66" t="s">
        <v>720</v>
      </c>
      <c r="G66" t="s">
        <v>1022</v>
      </c>
      <c r="I66">
        <v>1</v>
      </c>
      <c r="J66" t="s">
        <v>722</v>
      </c>
      <c r="K66" t="s">
        <v>723</v>
      </c>
      <c r="L66">
        <v>16287</v>
      </c>
      <c r="M66" t="s">
        <v>138</v>
      </c>
      <c r="N66" t="s">
        <v>733</v>
      </c>
      <c r="O66">
        <v>0.35807690160705202</v>
      </c>
      <c r="R66" t="s">
        <v>1023</v>
      </c>
      <c r="S66" t="s">
        <v>735</v>
      </c>
      <c r="T66" t="s">
        <v>1024</v>
      </c>
      <c r="U66">
        <v>1</v>
      </c>
      <c r="V66">
        <v>1221.8</v>
      </c>
      <c r="W66" t="s">
        <v>728</v>
      </c>
    </row>
    <row r="67" spans="1:23">
      <c r="A67" t="s">
        <v>1025</v>
      </c>
      <c r="B67" t="s">
        <v>139</v>
      </c>
      <c r="C67" t="s">
        <v>738</v>
      </c>
      <c r="D67" t="s">
        <v>1021</v>
      </c>
      <c r="E67" t="s">
        <v>719</v>
      </c>
      <c r="F67" t="s">
        <v>720</v>
      </c>
      <c r="G67" t="s">
        <v>1016</v>
      </c>
      <c r="I67">
        <v>1</v>
      </c>
      <c r="J67" t="s">
        <v>722</v>
      </c>
      <c r="K67" t="s">
        <v>723</v>
      </c>
      <c r="L67">
        <v>16287</v>
      </c>
      <c r="M67" t="s">
        <v>138</v>
      </c>
      <c r="N67" t="s">
        <v>733</v>
      </c>
      <c r="O67">
        <v>0.38346512350422662</v>
      </c>
      <c r="R67" t="s">
        <v>1026</v>
      </c>
      <c r="S67" t="s">
        <v>735</v>
      </c>
      <c r="T67" t="s">
        <v>1024</v>
      </c>
      <c r="U67">
        <v>1</v>
      </c>
      <c r="V67">
        <v>1221.8</v>
      </c>
      <c r="W67" t="s">
        <v>728</v>
      </c>
    </row>
    <row r="68" spans="1:23">
      <c r="A68" t="s">
        <v>1027</v>
      </c>
      <c r="B68" t="s">
        <v>141</v>
      </c>
      <c r="C68" t="s">
        <v>738</v>
      </c>
      <c r="D68" t="s">
        <v>1021</v>
      </c>
      <c r="E68" t="s">
        <v>719</v>
      </c>
      <c r="F68" t="s">
        <v>720</v>
      </c>
      <c r="G68" t="s">
        <v>1022</v>
      </c>
      <c r="I68">
        <v>1</v>
      </c>
      <c r="J68" t="s">
        <v>722</v>
      </c>
      <c r="K68" t="s">
        <v>723</v>
      </c>
      <c r="L68">
        <v>16287</v>
      </c>
      <c r="M68" t="s">
        <v>138</v>
      </c>
      <c r="N68" t="s">
        <v>733</v>
      </c>
      <c r="O68">
        <v>0.37792815367761418</v>
      </c>
      <c r="R68" t="s">
        <v>1028</v>
      </c>
      <c r="S68" t="s">
        <v>735</v>
      </c>
      <c r="T68" t="s">
        <v>1024</v>
      </c>
      <c r="U68">
        <v>1</v>
      </c>
      <c r="V68">
        <v>1221.8</v>
      </c>
      <c r="W68" t="s">
        <v>728</v>
      </c>
    </row>
    <row r="69" spans="1:23">
      <c r="A69" t="s">
        <v>1029</v>
      </c>
      <c r="B69" t="s">
        <v>143</v>
      </c>
      <c r="C69" t="s">
        <v>738</v>
      </c>
      <c r="D69" t="s">
        <v>1030</v>
      </c>
      <c r="E69" t="s">
        <v>719</v>
      </c>
      <c r="F69" t="s">
        <v>720</v>
      </c>
      <c r="G69" t="s">
        <v>1031</v>
      </c>
      <c r="I69">
        <v>1</v>
      </c>
      <c r="J69" t="s">
        <v>722</v>
      </c>
      <c r="K69" t="s">
        <v>723</v>
      </c>
      <c r="L69">
        <v>16287</v>
      </c>
      <c r="M69" t="s">
        <v>138</v>
      </c>
      <c r="N69" t="s">
        <v>733</v>
      </c>
      <c r="O69">
        <v>0.38193339771128859</v>
      </c>
      <c r="R69" t="s">
        <v>1032</v>
      </c>
      <c r="S69" t="s">
        <v>735</v>
      </c>
      <c r="T69" t="s">
        <v>1024</v>
      </c>
      <c r="U69">
        <v>1</v>
      </c>
      <c r="V69">
        <v>3690</v>
      </c>
      <c r="W69" t="s">
        <v>728</v>
      </c>
    </row>
    <row r="70" spans="1:23">
      <c r="A70" t="s">
        <v>1033</v>
      </c>
      <c r="B70" t="s">
        <v>113</v>
      </c>
      <c r="C70" t="s">
        <v>738</v>
      </c>
      <c r="D70" t="s">
        <v>1034</v>
      </c>
      <c r="E70" t="s">
        <v>746</v>
      </c>
      <c r="G70" t="s">
        <v>771</v>
      </c>
      <c r="L70">
        <v>16207</v>
      </c>
      <c r="M70" t="s">
        <v>69</v>
      </c>
      <c r="N70" t="s">
        <v>733</v>
      </c>
      <c r="O70">
        <v>0.38882149759240431</v>
      </c>
      <c r="R70" t="s">
        <v>1035</v>
      </c>
      <c r="S70" t="s">
        <v>759</v>
      </c>
      <c r="T70" t="s">
        <v>784</v>
      </c>
      <c r="U70">
        <v>1</v>
      </c>
      <c r="V70">
        <v>127500</v>
      </c>
      <c r="W70" t="s">
        <v>728</v>
      </c>
    </row>
    <row r="71" spans="1:23">
      <c r="A71" t="s">
        <v>1036</v>
      </c>
      <c r="B71" t="s">
        <v>113</v>
      </c>
      <c r="C71" t="s">
        <v>738</v>
      </c>
      <c r="D71">
        <f>1125+112</f>
        <v>1237</v>
      </c>
      <c r="E71" t="s">
        <v>746</v>
      </c>
      <c r="G71" t="s">
        <v>1037</v>
      </c>
      <c r="L71">
        <v>16204</v>
      </c>
      <c r="M71" t="s">
        <v>145</v>
      </c>
      <c r="N71" t="s">
        <v>748</v>
      </c>
      <c r="O71">
        <v>0.39521069138420739</v>
      </c>
      <c r="R71" t="s">
        <v>1038</v>
      </c>
      <c r="S71" t="s">
        <v>1039</v>
      </c>
      <c r="T71" t="s">
        <v>1040</v>
      </c>
      <c r="U71">
        <v>1</v>
      </c>
      <c r="V71">
        <v>103</v>
      </c>
      <c r="W71" t="s">
        <v>728</v>
      </c>
    </row>
    <row r="72" spans="1:23">
      <c r="A72" t="s">
        <v>1041</v>
      </c>
      <c r="B72" t="s">
        <v>146</v>
      </c>
      <c r="C72" t="s">
        <v>738</v>
      </c>
      <c r="D72" t="s">
        <v>1042</v>
      </c>
      <c r="E72" t="s">
        <v>719</v>
      </c>
      <c r="F72" t="s">
        <v>720</v>
      </c>
      <c r="G72" t="s">
        <v>1043</v>
      </c>
      <c r="I72">
        <v>1</v>
      </c>
      <c r="J72" t="s">
        <v>722</v>
      </c>
      <c r="K72" t="s">
        <v>723</v>
      </c>
      <c r="L72">
        <v>16203</v>
      </c>
      <c r="M72" t="s">
        <v>136</v>
      </c>
      <c r="N72" t="s">
        <v>795</v>
      </c>
      <c r="O72">
        <v>0.36045105795658172</v>
      </c>
      <c r="R72" t="s">
        <v>1044</v>
      </c>
      <c r="S72" t="s">
        <v>797</v>
      </c>
      <c r="T72" t="s">
        <v>1018</v>
      </c>
      <c r="U72">
        <v>1</v>
      </c>
      <c r="V72">
        <v>1166000</v>
      </c>
      <c r="W72" t="s">
        <v>728</v>
      </c>
    </row>
    <row r="73" spans="1:23">
      <c r="A73" t="s">
        <v>1045</v>
      </c>
      <c r="B73" t="s">
        <v>113</v>
      </c>
      <c r="C73" t="s">
        <v>738</v>
      </c>
      <c r="D73">
        <v>100</v>
      </c>
      <c r="E73" t="s">
        <v>746</v>
      </c>
      <c r="F73" t="s">
        <v>1046</v>
      </c>
      <c r="G73" t="s">
        <v>1031</v>
      </c>
      <c r="L73">
        <v>16203</v>
      </c>
      <c r="M73" t="s">
        <v>136</v>
      </c>
      <c r="N73" t="s">
        <v>795</v>
      </c>
      <c r="O73">
        <v>0.37982351353695792</v>
      </c>
      <c r="R73" t="s">
        <v>1047</v>
      </c>
      <c r="S73" t="s">
        <v>1048</v>
      </c>
      <c r="T73" t="s">
        <v>1018</v>
      </c>
      <c r="U73">
        <v>1</v>
      </c>
      <c r="V73">
        <v>10600</v>
      </c>
      <c r="W73" t="s">
        <v>728</v>
      </c>
    </row>
    <row r="74" spans="1:23">
      <c r="A74" t="s">
        <v>1049</v>
      </c>
      <c r="B74" t="s">
        <v>149</v>
      </c>
      <c r="C74" t="s">
        <v>738</v>
      </c>
      <c r="D74" t="s">
        <v>1050</v>
      </c>
      <c r="E74" t="s">
        <v>746</v>
      </c>
      <c r="F74" t="s">
        <v>1051</v>
      </c>
      <c r="G74" t="s">
        <v>1052</v>
      </c>
      <c r="L74">
        <v>16206</v>
      </c>
      <c r="M74" t="s">
        <v>151</v>
      </c>
      <c r="N74" t="s">
        <v>724</v>
      </c>
      <c r="O74">
        <v>0.35462443502488761</v>
      </c>
      <c r="R74" t="s">
        <v>1053</v>
      </c>
      <c r="S74" t="s">
        <v>983</v>
      </c>
      <c r="T74" t="s">
        <v>1054</v>
      </c>
      <c r="U74">
        <v>1</v>
      </c>
      <c r="V74">
        <v>207900</v>
      </c>
      <c r="W74" t="s">
        <v>728</v>
      </c>
    </row>
    <row r="75" spans="1:23">
      <c r="A75" t="s">
        <v>1055</v>
      </c>
      <c r="B75" t="s">
        <v>152</v>
      </c>
      <c r="C75" t="s">
        <v>861</v>
      </c>
      <c r="D75" t="s">
        <v>1056</v>
      </c>
      <c r="E75" t="s">
        <v>719</v>
      </c>
      <c r="F75" t="s">
        <v>1057</v>
      </c>
      <c r="G75" t="s">
        <v>1058</v>
      </c>
      <c r="I75">
        <v>1</v>
      </c>
      <c r="J75" t="s">
        <v>722</v>
      </c>
      <c r="K75" t="s">
        <v>723</v>
      </c>
      <c r="L75">
        <v>16211</v>
      </c>
      <c r="M75" t="s">
        <v>154</v>
      </c>
      <c r="N75" t="s">
        <v>724</v>
      </c>
      <c r="O75">
        <v>0.44578335371620809</v>
      </c>
      <c r="R75" t="s">
        <v>1059</v>
      </c>
      <c r="S75" t="s">
        <v>1060</v>
      </c>
      <c r="T75" t="s">
        <v>1061</v>
      </c>
      <c r="U75">
        <v>1</v>
      </c>
      <c r="V75">
        <v>276</v>
      </c>
      <c r="W75" t="s">
        <v>728</v>
      </c>
    </row>
    <row r="76" spans="1:23">
      <c r="A76" t="s">
        <v>1062</v>
      </c>
      <c r="B76" t="s">
        <v>113</v>
      </c>
      <c r="C76" t="s">
        <v>738</v>
      </c>
      <c r="D76" t="s">
        <v>1063</v>
      </c>
      <c r="E76" t="s">
        <v>719</v>
      </c>
      <c r="F76" t="s">
        <v>720</v>
      </c>
      <c r="G76" t="s">
        <v>1064</v>
      </c>
      <c r="I76">
        <v>1</v>
      </c>
      <c r="J76" t="s">
        <v>722</v>
      </c>
      <c r="K76" t="s">
        <v>723</v>
      </c>
      <c r="L76">
        <v>16207</v>
      </c>
      <c r="M76" t="s">
        <v>69</v>
      </c>
      <c r="N76" t="s">
        <v>733</v>
      </c>
      <c r="O76">
        <v>0.41434730873133258</v>
      </c>
      <c r="R76" t="s">
        <v>1065</v>
      </c>
      <c r="S76" t="s">
        <v>735</v>
      </c>
      <c r="T76" t="s">
        <v>784</v>
      </c>
      <c r="U76">
        <v>1</v>
      </c>
      <c r="V76">
        <v>61200</v>
      </c>
      <c r="W76" t="s">
        <v>728</v>
      </c>
    </row>
    <row r="77" spans="1:23">
      <c r="A77" t="s">
        <v>1066</v>
      </c>
      <c r="B77" t="s">
        <v>155</v>
      </c>
      <c r="C77" t="s">
        <v>738</v>
      </c>
      <c r="D77" t="s">
        <v>1063</v>
      </c>
      <c r="E77" t="s">
        <v>719</v>
      </c>
      <c r="F77" t="s">
        <v>1057</v>
      </c>
      <c r="G77" t="s">
        <v>1067</v>
      </c>
      <c r="I77">
        <v>1</v>
      </c>
      <c r="J77" t="s">
        <v>722</v>
      </c>
      <c r="K77" t="s">
        <v>723</v>
      </c>
      <c r="L77">
        <v>16207</v>
      </c>
      <c r="M77" t="s">
        <v>69</v>
      </c>
      <c r="N77" t="s">
        <v>733</v>
      </c>
      <c r="O77">
        <v>0.34533759338588937</v>
      </c>
      <c r="R77" t="s">
        <v>1068</v>
      </c>
      <c r="S77" t="s">
        <v>735</v>
      </c>
      <c r="T77" t="s">
        <v>784</v>
      </c>
      <c r="U77">
        <v>1</v>
      </c>
      <c r="V77">
        <v>61200</v>
      </c>
      <c r="W77" t="s">
        <v>728</v>
      </c>
    </row>
    <row r="78" spans="1:23">
      <c r="A78" t="s">
        <v>1069</v>
      </c>
      <c r="B78" t="s">
        <v>157</v>
      </c>
      <c r="C78" t="s">
        <v>738</v>
      </c>
      <c r="D78" t="s">
        <v>1063</v>
      </c>
      <c r="E78" t="s">
        <v>719</v>
      </c>
      <c r="F78" t="s">
        <v>1057</v>
      </c>
      <c r="G78" t="s">
        <v>1070</v>
      </c>
      <c r="I78">
        <v>1</v>
      </c>
      <c r="J78" t="s">
        <v>722</v>
      </c>
      <c r="K78" t="s">
        <v>723</v>
      </c>
      <c r="L78">
        <v>16211</v>
      </c>
      <c r="M78" t="s">
        <v>154</v>
      </c>
      <c r="N78" t="s">
        <v>724</v>
      </c>
      <c r="O78">
        <v>0.32342384423924142</v>
      </c>
      <c r="R78" t="s">
        <v>1071</v>
      </c>
      <c r="S78" t="s">
        <v>726</v>
      </c>
      <c r="T78" t="s">
        <v>1061</v>
      </c>
      <c r="U78">
        <v>1</v>
      </c>
      <c r="V78">
        <v>165600</v>
      </c>
      <c r="W78" t="s">
        <v>728</v>
      </c>
    </row>
    <row r="79" spans="1:23">
      <c r="A79" t="s">
        <v>1072</v>
      </c>
      <c r="B79" t="s">
        <v>113</v>
      </c>
      <c r="C79" t="s">
        <v>738</v>
      </c>
      <c r="D79" t="s">
        <v>1056</v>
      </c>
      <c r="E79" t="s">
        <v>719</v>
      </c>
      <c r="F79" t="s">
        <v>720</v>
      </c>
      <c r="G79" t="s">
        <v>1073</v>
      </c>
      <c r="I79">
        <v>1</v>
      </c>
      <c r="J79" t="s">
        <v>722</v>
      </c>
      <c r="K79" t="s">
        <v>723</v>
      </c>
      <c r="L79">
        <v>16207</v>
      </c>
      <c r="M79" t="s">
        <v>69</v>
      </c>
      <c r="N79" t="s">
        <v>733</v>
      </c>
      <c r="O79">
        <v>0.41332457900658842</v>
      </c>
      <c r="R79" t="s">
        <v>1074</v>
      </c>
      <c r="S79" t="s">
        <v>1075</v>
      </c>
      <c r="T79" t="s">
        <v>784</v>
      </c>
      <c r="U79">
        <v>1</v>
      </c>
      <c r="V79">
        <v>102</v>
      </c>
      <c r="W79" t="s">
        <v>728</v>
      </c>
    </row>
    <row r="80" spans="1:23">
      <c r="A80" t="s">
        <v>1076</v>
      </c>
      <c r="B80" t="s">
        <v>159</v>
      </c>
      <c r="C80" t="s">
        <v>861</v>
      </c>
      <c r="D80" t="s">
        <v>1056</v>
      </c>
      <c r="E80" t="s">
        <v>719</v>
      </c>
      <c r="F80" t="s">
        <v>1057</v>
      </c>
      <c r="G80" t="s">
        <v>1077</v>
      </c>
      <c r="I80">
        <v>1</v>
      </c>
      <c r="J80" t="s">
        <v>722</v>
      </c>
      <c r="K80" t="s">
        <v>723</v>
      </c>
      <c r="L80">
        <v>4092</v>
      </c>
      <c r="M80" t="s">
        <v>161</v>
      </c>
      <c r="N80" t="s">
        <v>1002</v>
      </c>
      <c r="O80">
        <v>0.41960503150173778</v>
      </c>
      <c r="R80" t="s">
        <v>1078</v>
      </c>
      <c r="S80" t="s">
        <v>1079</v>
      </c>
      <c r="T80" t="s">
        <v>1080</v>
      </c>
      <c r="U80">
        <v>1</v>
      </c>
      <c r="V80">
        <v>375</v>
      </c>
      <c r="W80" t="s">
        <v>728</v>
      </c>
    </row>
    <row r="81" spans="1:23">
      <c r="A81" t="s">
        <v>1081</v>
      </c>
      <c r="B81" t="s">
        <v>113</v>
      </c>
      <c r="C81" t="s">
        <v>738</v>
      </c>
      <c r="D81">
        <v>600</v>
      </c>
      <c r="E81" t="s">
        <v>719</v>
      </c>
      <c r="F81" t="s">
        <v>1057</v>
      </c>
      <c r="G81" t="s">
        <v>1082</v>
      </c>
      <c r="I81">
        <v>1</v>
      </c>
      <c r="J81" t="s">
        <v>722</v>
      </c>
      <c r="K81" t="s">
        <v>723</v>
      </c>
      <c r="L81">
        <v>16207</v>
      </c>
      <c r="M81" t="s">
        <v>69</v>
      </c>
      <c r="N81" t="s">
        <v>733</v>
      </c>
      <c r="O81">
        <v>0.35529364443571437</v>
      </c>
      <c r="R81" t="s">
        <v>1083</v>
      </c>
      <c r="S81" t="s">
        <v>735</v>
      </c>
      <c r="T81" t="s">
        <v>784</v>
      </c>
      <c r="U81">
        <v>1</v>
      </c>
      <c r="V81">
        <v>61200</v>
      </c>
      <c r="W81" t="s">
        <v>728</v>
      </c>
    </row>
    <row r="82" spans="1:23">
      <c r="A82" t="s">
        <v>1084</v>
      </c>
      <c r="B82" t="s">
        <v>113</v>
      </c>
      <c r="C82" t="s">
        <v>738</v>
      </c>
      <c r="D82" t="s">
        <v>1085</v>
      </c>
      <c r="E82" t="s">
        <v>746</v>
      </c>
      <c r="F82" t="s">
        <v>720</v>
      </c>
      <c r="G82" t="s">
        <v>1086</v>
      </c>
      <c r="L82">
        <v>16207</v>
      </c>
      <c r="M82" t="s">
        <v>69</v>
      </c>
      <c r="N82" t="s">
        <v>733</v>
      </c>
      <c r="O82">
        <v>0.41331791669373102</v>
      </c>
      <c r="R82" t="s">
        <v>1074</v>
      </c>
      <c r="S82" t="s">
        <v>1087</v>
      </c>
      <c r="T82" t="s">
        <v>784</v>
      </c>
      <c r="U82">
        <v>1</v>
      </c>
      <c r="V82">
        <v>102</v>
      </c>
      <c r="W82" t="s">
        <v>728</v>
      </c>
    </row>
    <row r="83" spans="1:23">
      <c r="A83" t="s">
        <v>1088</v>
      </c>
      <c r="B83" t="s">
        <v>113</v>
      </c>
      <c r="C83" t="s">
        <v>738</v>
      </c>
      <c r="D83">
        <v>250</v>
      </c>
      <c r="E83" t="s">
        <v>719</v>
      </c>
      <c r="F83" t="s">
        <v>1057</v>
      </c>
      <c r="G83" t="s">
        <v>1089</v>
      </c>
      <c r="I83">
        <v>1</v>
      </c>
      <c r="J83" t="s">
        <v>722</v>
      </c>
      <c r="K83" t="s">
        <v>723</v>
      </c>
      <c r="L83">
        <v>16207</v>
      </c>
      <c r="M83" t="s">
        <v>69</v>
      </c>
      <c r="N83" t="s">
        <v>733</v>
      </c>
      <c r="O83">
        <v>0.35516466964056692</v>
      </c>
      <c r="R83" t="s">
        <v>1090</v>
      </c>
      <c r="S83" t="s">
        <v>735</v>
      </c>
      <c r="T83" t="s">
        <v>784</v>
      </c>
      <c r="U83">
        <v>1</v>
      </c>
      <c r="V83">
        <v>25500</v>
      </c>
      <c r="W83" t="s">
        <v>728</v>
      </c>
    </row>
    <row r="84" spans="1:23">
      <c r="A84" t="s">
        <v>1091</v>
      </c>
      <c r="B84" t="s">
        <v>163</v>
      </c>
      <c r="C84" t="s">
        <v>738</v>
      </c>
      <c r="D84" t="s">
        <v>1092</v>
      </c>
      <c r="E84" t="s">
        <v>719</v>
      </c>
      <c r="F84" t="s">
        <v>1093</v>
      </c>
      <c r="G84" t="s">
        <v>1094</v>
      </c>
      <c r="I84">
        <v>1</v>
      </c>
      <c r="J84" t="s">
        <v>722</v>
      </c>
      <c r="K84" t="s">
        <v>723</v>
      </c>
      <c r="L84">
        <v>16207</v>
      </c>
      <c r="M84" t="s">
        <v>69</v>
      </c>
      <c r="N84" t="s">
        <v>733</v>
      </c>
      <c r="O84">
        <v>0.33795575057167943</v>
      </c>
      <c r="R84" t="s">
        <v>1095</v>
      </c>
      <c r="S84" t="s">
        <v>735</v>
      </c>
      <c r="T84" t="s">
        <v>784</v>
      </c>
      <c r="U84">
        <v>1</v>
      </c>
      <c r="V84">
        <v>132600</v>
      </c>
      <c r="W84" t="s">
        <v>728</v>
      </c>
    </row>
    <row r="85" spans="1:23">
      <c r="A85" t="s">
        <v>1096</v>
      </c>
      <c r="B85" t="s">
        <v>164</v>
      </c>
      <c r="C85" t="s">
        <v>738</v>
      </c>
      <c r="D85" t="s">
        <v>1097</v>
      </c>
      <c r="E85" t="s">
        <v>719</v>
      </c>
      <c r="F85" t="s">
        <v>1093</v>
      </c>
      <c r="G85" t="s">
        <v>933</v>
      </c>
      <c r="I85">
        <v>1</v>
      </c>
      <c r="J85" t="s">
        <v>722</v>
      </c>
      <c r="K85" t="s">
        <v>723</v>
      </c>
      <c r="L85">
        <v>16287</v>
      </c>
      <c r="M85" t="s">
        <v>138</v>
      </c>
      <c r="N85" t="s">
        <v>733</v>
      </c>
      <c r="O85">
        <v>0.3291450145421464</v>
      </c>
      <c r="R85" t="s">
        <v>1098</v>
      </c>
      <c r="S85" t="s">
        <v>735</v>
      </c>
      <c r="T85" t="s">
        <v>1024</v>
      </c>
      <c r="U85">
        <v>1</v>
      </c>
      <c r="V85">
        <v>43706</v>
      </c>
      <c r="W85" t="s">
        <v>728</v>
      </c>
    </row>
    <row r="86" spans="1:23">
      <c r="A86" t="s">
        <v>1099</v>
      </c>
      <c r="B86" t="s">
        <v>166</v>
      </c>
      <c r="C86" t="s">
        <v>738</v>
      </c>
      <c r="D86">
        <v>1700</v>
      </c>
      <c r="E86" t="s">
        <v>719</v>
      </c>
      <c r="F86" t="s">
        <v>1100</v>
      </c>
      <c r="G86" t="s">
        <v>1101</v>
      </c>
      <c r="I86">
        <v>1</v>
      </c>
      <c r="J86" t="s">
        <v>722</v>
      </c>
      <c r="K86" t="s">
        <v>723</v>
      </c>
      <c r="L86">
        <v>16203</v>
      </c>
      <c r="M86" t="s">
        <v>136</v>
      </c>
      <c r="N86" t="s">
        <v>795</v>
      </c>
      <c r="O86">
        <v>0.37479050586708512</v>
      </c>
      <c r="R86" t="s">
        <v>1102</v>
      </c>
      <c r="S86" t="s">
        <v>797</v>
      </c>
      <c r="T86" t="s">
        <v>1018</v>
      </c>
      <c r="U86">
        <v>1</v>
      </c>
      <c r="V86">
        <v>180200</v>
      </c>
      <c r="W86" t="s">
        <v>728</v>
      </c>
    </row>
    <row r="87" spans="1:23">
      <c r="A87" t="s">
        <v>1103</v>
      </c>
      <c r="B87" t="s">
        <v>113</v>
      </c>
      <c r="C87" t="s">
        <v>738</v>
      </c>
      <c r="D87" t="s">
        <v>781</v>
      </c>
      <c r="E87" t="s">
        <v>719</v>
      </c>
      <c r="F87" t="s">
        <v>720</v>
      </c>
      <c r="G87" t="s">
        <v>782</v>
      </c>
      <c r="I87">
        <v>1</v>
      </c>
      <c r="J87" t="s">
        <v>722</v>
      </c>
      <c r="K87" t="s">
        <v>723</v>
      </c>
      <c r="L87">
        <v>16207</v>
      </c>
      <c r="M87" t="s">
        <v>69</v>
      </c>
      <c r="N87" t="s">
        <v>733</v>
      </c>
      <c r="O87">
        <v>0.41539052344181288</v>
      </c>
      <c r="R87" t="s">
        <v>1104</v>
      </c>
      <c r="S87" t="s">
        <v>735</v>
      </c>
      <c r="T87" t="s">
        <v>784</v>
      </c>
      <c r="U87">
        <v>1</v>
      </c>
      <c r="V87">
        <v>1300500</v>
      </c>
      <c r="W87" t="s">
        <v>728</v>
      </c>
    </row>
    <row r="88" spans="1:23">
      <c r="A88" t="s">
        <v>1105</v>
      </c>
      <c r="B88" t="s">
        <v>168</v>
      </c>
      <c r="C88" t="s">
        <v>1106</v>
      </c>
      <c r="D88">
        <v>3000</v>
      </c>
      <c r="E88" t="s">
        <v>719</v>
      </c>
      <c r="F88" t="s">
        <v>720</v>
      </c>
      <c r="G88" t="s">
        <v>1101</v>
      </c>
      <c r="I88">
        <v>1</v>
      </c>
      <c r="J88" t="s">
        <v>722</v>
      </c>
      <c r="K88" t="s">
        <v>723</v>
      </c>
      <c r="L88">
        <v>16227</v>
      </c>
      <c r="M88" t="s">
        <v>170</v>
      </c>
      <c r="N88" t="s">
        <v>733</v>
      </c>
      <c r="O88">
        <v>0.49303597875614519</v>
      </c>
      <c r="R88" t="s">
        <v>1107</v>
      </c>
      <c r="S88" t="s">
        <v>735</v>
      </c>
      <c r="T88" t="s">
        <v>1108</v>
      </c>
      <c r="U88">
        <v>1</v>
      </c>
      <c r="V88">
        <v>339000</v>
      </c>
      <c r="W88" t="s">
        <v>728</v>
      </c>
    </row>
    <row r="89" spans="1:23">
      <c r="A89" t="s">
        <v>1109</v>
      </c>
      <c r="B89" t="s">
        <v>171</v>
      </c>
      <c r="C89" t="s">
        <v>1106</v>
      </c>
      <c r="D89">
        <v>4000</v>
      </c>
      <c r="E89" t="s">
        <v>719</v>
      </c>
      <c r="F89" t="s">
        <v>720</v>
      </c>
      <c r="G89" t="s">
        <v>1110</v>
      </c>
      <c r="I89">
        <v>1</v>
      </c>
      <c r="J89" t="s">
        <v>722</v>
      </c>
      <c r="K89" t="s">
        <v>723</v>
      </c>
      <c r="L89">
        <v>16227</v>
      </c>
      <c r="M89" t="s">
        <v>170</v>
      </c>
      <c r="N89" t="s">
        <v>733</v>
      </c>
      <c r="O89">
        <v>0.49341513920417712</v>
      </c>
      <c r="R89" t="s">
        <v>1111</v>
      </c>
      <c r="S89" t="s">
        <v>735</v>
      </c>
      <c r="T89" t="s">
        <v>1108</v>
      </c>
      <c r="U89">
        <v>1</v>
      </c>
      <c r="V89">
        <v>452000</v>
      </c>
      <c r="W89" t="s">
        <v>728</v>
      </c>
    </row>
    <row r="90" spans="1:23">
      <c r="A90" t="s">
        <v>1112</v>
      </c>
      <c r="B90" t="s">
        <v>168</v>
      </c>
      <c r="C90" t="s">
        <v>1106</v>
      </c>
      <c r="D90" t="s">
        <v>1113</v>
      </c>
      <c r="E90" t="s">
        <v>719</v>
      </c>
      <c r="F90" t="s">
        <v>720</v>
      </c>
      <c r="G90" t="s">
        <v>1114</v>
      </c>
      <c r="I90">
        <v>1</v>
      </c>
      <c r="J90" t="s">
        <v>722</v>
      </c>
      <c r="K90" t="s">
        <v>723</v>
      </c>
      <c r="L90">
        <v>16227</v>
      </c>
      <c r="M90" t="s">
        <v>170</v>
      </c>
      <c r="N90" t="s">
        <v>733</v>
      </c>
      <c r="O90">
        <v>0.49590498074399397</v>
      </c>
      <c r="R90" t="s">
        <v>1115</v>
      </c>
      <c r="S90" t="s">
        <v>735</v>
      </c>
      <c r="T90" t="s">
        <v>1108</v>
      </c>
      <c r="U90">
        <v>1</v>
      </c>
      <c r="V90">
        <v>452000</v>
      </c>
      <c r="W90" t="s">
        <v>728</v>
      </c>
    </row>
    <row r="91" spans="1:23">
      <c r="A91" t="s">
        <v>1116</v>
      </c>
      <c r="B91" t="s">
        <v>168</v>
      </c>
      <c r="C91" t="s">
        <v>1106</v>
      </c>
      <c r="D91" t="s">
        <v>995</v>
      </c>
      <c r="E91" t="s">
        <v>719</v>
      </c>
      <c r="F91" t="s">
        <v>720</v>
      </c>
      <c r="G91" t="s">
        <v>1117</v>
      </c>
      <c r="I91">
        <v>1</v>
      </c>
      <c r="J91" t="s">
        <v>722</v>
      </c>
      <c r="K91" t="s">
        <v>723</v>
      </c>
      <c r="L91">
        <v>16227</v>
      </c>
      <c r="M91" t="s">
        <v>170</v>
      </c>
      <c r="N91" t="s">
        <v>733</v>
      </c>
      <c r="O91">
        <v>0.49418460138614889</v>
      </c>
      <c r="R91" t="s">
        <v>1118</v>
      </c>
      <c r="S91" t="s">
        <v>735</v>
      </c>
      <c r="T91" t="s">
        <v>1108</v>
      </c>
      <c r="U91">
        <v>1</v>
      </c>
      <c r="V91">
        <v>169500</v>
      </c>
      <c r="W91" t="s">
        <v>728</v>
      </c>
    </row>
    <row r="92" spans="1:23">
      <c r="A92" t="s">
        <v>1119</v>
      </c>
      <c r="B92" t="s">
        <v>1120</v>
      </c>
      <c r="C92" t="s">
        <v>738</v>
      </c>
      <c r="D92" t="s">
        <v>1121</v>
      </c>
      <c r="E92" t="s">
        <v>719</v>
      </c>
      <c r="F92" t="s">
        <v>720</v>
      </c>
      <c r="G92" t="s">
        <v>782</v>
      </c>
      <c r="I92">
        <v>1</v>
      </c>
      <c r="J92" t="s">
        <v>722</v>
      </c>
      <c r="K92" t="s">
        <v>723</v>
      </c>
      <c r="L92">
        <v>16207</v>
      </c>
      <c r="M92" t="s">
        <v>69</v>
      </c>
      <c r="N92" t="s">
        <v>733</v>
      </c>
      <c r="O92">
        <v>0.39137695930127148</v>
      </c>
      <c r="R92" t="s">
        <v>1122</v>
      </c>
      <c r="S92" t="s">
        <v>735</v>
      </c>
      <c r="T92" t="s">
        <v>784</v>
      </c>
      <c r="U92">
        <v>1</v>
      </c>
      <c r="V92">
        <v>1224000</v>
      </c>
      <c r="W92" t="s">
        <v>728</v>
      </c>
    </row>
    <row r="93" spans="1:23">
      <c r="A93" t="s">
        <v>1123</v>
      </c>
      <c r="B93" t="s">
        <v>1124</v>
      </c>
      <c r="C93" t="s">
        <v>738</v>
      </c>
      <c r="D93" t="s">
        <v>1125</v>
      </c>
      <c r="E93" t="s">
        <v>719</v>
      </c>
      <c r="F93" t="s">
        <v>720</v>
      </c>
      <c r="G93" t="s">
        <v>782</v>
      </c>
      <c r="I93">
        <v>1</v>
      </c>
      <c r="J93" t="s">
        <v>722</v>
      </c>
      <c r="K93" t="s">
        <v>723</v>
      </c>
      <c r="L93">
        <v>16207</v>
      </c>
      <c r="M93" t="s">
        <v>69</v>
      </c>
      <c r="N93" t="s">
        <v>733</v>
      </c>
      <c r="O93">
        <v>0.40094160317928751</v>
      </c>
      <c r="R93" t="s">
        <v>1126</v>
      </c>
      <c r="S93" t="s">
        <v>735</v>
      </c>
      <c r="T93" t="s">
        <v>784</v>
      </c>
      <c r="U93">
        <v>1</v>
      </c>
      <c r="V93">
        <v>1407600</v>
      </c>
      <c r="W93" t="s">
        <v>728</v>
      </c>
    </row>
    <row r="94" spans="1:23">
      <c r="A94" t="s">
        <v>1127</v>
      </c>
      <c r="B94" t="s">
        <v>113</v>
      </c>
      <c r="C94" t="s">
        <v>738</v>
      </c>
      <c r="D94" t="s">
        <v>1113</v>
      </c>
      <c r="E94" t="s">
        <v>719</v>
      </c>
      <c r="F94" t="s">
        <v>720</v>
      </c>
      <c r="G94" t="s">
        <v>1128</v>
      </c>
      <c r="I94">
        <v>1</v>
      </c>
      <c r="J94" t="s">
        <v>722</v>
      </c>
      <c r="K94" t="s">
        <v>723</v>
      </c>
      <c r="L94">
        <v>16207</v>
      </c>
      <c r="M94" t="s">
        <v>69</v>
      </c>
      <c r="N94" t="s">
        <v>733</v>
      </c>
      <c r="O94">
        <v>0.42040583583644459</v>
      </c>
      <c r="R94" t="s">
        <v>1129</v>
      </c>
      <c r="S94" t="s">
        <v>735</v>
      </c>
      <c r="T94" t="s">
        <v>784</v>
      </c>
      <c r="U94">
        <v>1</v>
      </c>
      <c r="V94">
        <v>408000</v>
      </c>
      <c r="W94" t="s">
        <v>728</v>
      </c>
    </row>
    <row r="95" spans="1:23">
      <c r="A95" t="s">
        <v>1130</v>
      </c>
      <c r="B95" t="s">
        <v>155</v>
      </c>
      <c r="C95" t="s">
        <v>738</v>
      </c>
      <c r="D95" t="s">
        <v>1131</v>
      </c>
      <c r="E95" t="s">
        <v>719</v>
      </c>
      <c r="F95" t="s">
        <v>1132</v>
      </c>
      <c r="G95" t="s">
        <v>1133</v>
      </c>
      <c r="I95">
        <v>1</v>
      </c>
      <c r="J95" t="s">
        <v>722</v>
      </c>
      <c r="K95" t="s">
        <v>723</v>
      </c>
      <c r="L95">
        <v>16207</v>
      </c>
      <c r="M95" t="s">
        <v>69</v>
      </c>
      <c r="N95" t="s">
        <v>733</v>
      </c>
      <c r="O95">
        <v>0.40652808734024032</v>
      </c>
      <c r="R95" t="s">
        <v>1134</v>
      </c>
      <c r="S95" t="s">
        <v>735</v>
      </c>
      <c r="T95" t="s">
        <v>784</v>
      </c>
      <c r="U95">
        <v>1</v>
      </c>
      <c r="V95">
        <v>816000</v>
      </c>
      <c r="W95" t="s">
        <v>728</v>
      </c>
    </row>
    <row r="96" spans="1:23">
      <c r="A96" t="s">
        <v>1135</v>
      </c>
      <c r="B96" t="s">
        <v>175</v>
      </c>
      <c r="C96" t="s">
        <v>738</v>
      </c>
      <c r="D96" t="s">
        <v>995</v>
      </c>
      <c r="E96" t="s">
        <v>719</v>
      </c>
      <c r="F96" t="s">
        <v>720</v>
      </c>
      <c r="G96" t="s">
        <v>1136</v>
      </c>
      <c r="I96">
        <v>1</v>
      </c>
      <c r="J96" t="s">
        <v>722</v>
      </c>
      <c r="K96" t="s">
        <v>723</v>
      </c>
      <c r="L96">
        <v>13120</v>
      </c>
      <c r="M96" t="s">
        <v>50</v>
      </c>
      <c r="N96" t="s">
        <v>733</v>
      </c>
      <c r="O96">
        <v>0.50405203586806135</v>
      </c>
      <c r="R96" t="s">
        <v>1137</v>
      </c>
      <c r="S96" t="s">
        <v>735</v>
      </c>
      <c r="T96" t="s">
        <v>743</v>
      </c>
      <c r="U96">
        <v>1</v>
      </c>
      <c r="V96">
        <v>112500</v>
      </c>
      <c r="W96" t="s">
        <v>728</v>
      </c>
    </row>
    <row r="97" spans="1:23">
      <c r="A97" t="s">
        <v>1138</v>
      </c>
      <c r="B97" t="s">
        <v>155</v>
      </c>
      <c r="C97" t="s">
        <v>738</v>
      </c>
      <c r="D97" t="s">
        <v>1063</v>
      </c>
      <c r="E97" t="s">
        <v>719</v>
      </c>
      <c r="F97" t="s">
        <v>720</v>
      </c>
      <c r="G97" t="s">
        <v>1139</v>
      </c>
      <c r="I97">
        <v>1</v>
      </c>
      <c r="J97" t="s">
        <v>722</v>
      </c>
      <c r="K97" t="s">
        <v>723</v>
      </c>
      <c r="L97">
        <v>16207</v>
      </c>
      <c r="M97" t="s">
        <v>69</v>
      </c>
      <c r="N97" t="s">
        <v>733</v>
      </c>
      <c r="O97">
        <v>0.40559912418938471</v>
      </c>
      <c r="R97" t="s">
        <v>1140</v>
      </c>
      <c r="S97" t="s">
        <v>735</v>
      </c>
      <c r="T97" t="s">
        <v>784</v>
      </c>
      <c r="U97">
        <v>1</v>
      </c>
      <c r="V97">
        <v>61200</v>
      </c>
      <c r="W97" t="s">
        <v>728</v>
      </c>
    </row>
    <row r="98" spans="1:23">
      <c r="A98" t="s">
        <v>1141</v>
      </c>
      <c r="B98" t="s">
        <v>155</v>
      </c>
      <c r="C98" t="s">
        <v>738</v>
      </c>
      <c r="D98">
        <v>1770</v>
      </c>
      <c r="E98" t="s">
        <v>179</v>
      </c>
      <c r="F98" t="s">
        <v>1051</v>
      </c>
      <c r="G98" t="s">
        <v>1142</v>
      </c>
      <c r="L98">
        <v>16206</v>
      </c>
      <c r="M98" t="s">
        <v>151</v>
      </c>
      <c r="N98" t="s">
        <v>724</v>
      </c>
      <c r="O98">
        <v>0.36626241806752252</v>
      </c>
      <c r="R98" t="s">
        <v>1143</v>
      </c>
      <c r="S98" t="s">
        <v>1144</v>
      </c>
      <c r="T98" t="s">
        <v>1054</v>
      </c>
      <c r="U98">
        <v>1</v>
      </c>
      <c r="V98">
        <v>194700</v>
      </c>
      <c r="W98" t="s">
        <v>728</v>
      </c>
    </row>
    <row r="99" spans="1:23">
      <c r="A99" t="s">
        <v>1145</v>
      </c>
      <c r="B99" t="s">
        <v>113</v>
      </c>
      <c r="C99" t="s">
        <v>738</v>
      </c>
      <c r="D99" t="s">
        <v>1146</v>
      </c>
      <c r="E99" t="s">
        <v>179</v>
      </c>
      <c r="F99" t="s">
        <v>1051</v>
      </c>
      <c r="G99" t="s">
        <v>1142</v>
      </c>
      <c r="L99">
        <v>16204</v>
      </c>
      <c r="M99" t="s">
        <v>145</v>
      </c>
      <c r="N99" t="s">
        <v>748</v>
      </c>
      <c r="O99">
        <v>0.36396850795244362</v>
      </c>
      <c r="R99" t="s">
        <v>1147</v>
      </c>
      <c r="S99" t="s">
        <v>1148</v>
      </c>
      <c r="T99" t="s">
        <v>1040</v>
      </c>
      <c r="U99">
        <v>1</v>
      </c>
      <c r="V99">
        <v>156560</v>
      </c>
      <c r="W99" t="s">
        <v>728</v>
      </c>
    </row>
    <row r="100" spans="1:23">
      <c r="A100" t="s">
        <v>1149</v>
      </c>
      <c r="B100" t="s">
        <v>181</v>
      </c>
      <c r="C100" t="s">
        <v>738</v>
      </c>
      <c r="D100">
        <v>2175</v>
      </c>
      <c r="E100" t="s">
        <v>179</v>
      </c>
      <c r="F100" t="s">
        <v>1051</v>
      </c>
      <c r="G100" t="s">
        <v>830</v>
      </c>
      <c r="L100">
        <v>16232</v>
      </c>
      <c r="M100" t="s">
        <v>183</v>
      </c>
      <c r="N100" t="s">
        <v>733</v>
      </c>
      <c r="O100">
        <v>0.46991136536184042</v>
      </c>
      <c r="R100" t="s">
        <v>1150</v>
      </c>
      <c r="S100" t="s">
        <v>1151</v>
      </c>
      <c r="T100" t="s">
        <v>1152</v>
      </c>
      <c r="U100">
        <v>1</v>
      </c>
      <c r="V100">
        <v>169650</v>
      </c>
      <c r="W100" t="s">
        <v>728</v>
      </c>
    </row>
    <row r="101" spans="1:23">
      <c r="A101" t="s">
        <v>1153</v>
      </c>
      <c r="B101" t="s">
        <v>1154</v>
      </c>
      <c r="C101" t="s">
        <v>738</v>
      </c>
      <c r="D101" t="s">
        <v>1155</v>
      </c>
      <c r="E101" t="s">
        <v>179</v>
      </c>
      <c r="F101" t="s">
        <v>1051</v>
      </c>
      <c r="G101" t="s">
        <v>1156</v>
      </c>
      <c r="L101">
        <v>16232</v>
      </c>
      <c r="M101" t="s">
        <v>183</v>
      </c>
      <c r="N101" t="s">
        <v>733</v>
      </c>
      <c r="O101">
        <v>0.45518352294679337</v>
      </c>
      <c r="R101" t="s">
        <v>1157</v>
      </c>
      <c r="S101" t="s">
        <v>1151</v>
      </c>
      <c r="T101" t="s">
        <v>1152</v>
      </c>
      <c r="U101">
        <v>1</v>
      </c>
      <c r="V101">
        <v>197925</v>
      </c>
      <c r="W101" t="s">
        <v>728</v>
      </c>
    </row>
    <row r="102" spans="1:23">
      <c r="A102" t="s">
        <v>1158</v>
      </c>
      <c r="B102" t="s">
        <v>1159</v>
      </c>
      <c r="C102" t="s">
        <v>738</v>
      </c>
      <c r="D102">
        <v>1077.5</v>
      </c>
      <c r="E102" t="s">
        <v>179</v>
      </c>
      <c r="F102" t="s">
        <v>1051</v>
      </c>
      <c r="G102" t="s">
        <v>1101</v>
      </c>
      <c r="L102">
        <v>16232</v>
      </c>
      <c r="M102" t="s">
        <v>183</v>
      </c>
      <c r="N102" t="s">
        <v>733</v>
      </c>
      <c r="O102">
        <v>0.47950623884048688</v>
      </c>
      <c r="R102" t="s">
        <v>1160</v>
      </c>
      <c r="S102" t="s">
        <v>1151</v>
      </c>
      <c r="T102" t="s">
        <v>1152</v>
      </c>
      <c r="U102">
        <v>1</v>
      </c>
      <c r="V102">
        <v>84045</v>
      </c>
      <c r="W102" t="s">
        <v>728</v>
      </c>
    </row>
    <row r="103" spans="1:23">
      <c r="A103" t="s">
        <v>1161</v>
      </c>
      <c r="B103" t="s">
        <v>186</v>
      </c>
      <c r="C103" t="s">
        <v>298</v>
      </c>
      <c r="D103">
        <v>67.5</v>
      </c>
      <c r="E103" t="s">
        <v>719</v>
      </c>
      <c r="F103" t="s">
        <v>720</v>
      </c>
      <c r="G103" t="s">
        <v>1162</v>
      </c>
      <c r="I103">
        <v>1</v>
      </c>
      <c r="J103" t="s">
        <v>722</v>
      </c>
      <c r="K103" t="s">
        <v>723</v>
      </c>
      <c r="L103">
        <v>16212</v>
      </c>
      <c r="M103" t="s">
        <v>112</v>
      </c>
      <c r="N103" t="s">
        <v>733</v>
      </c>
      <c r="O103">
        <v>0.4959723072225446</v>
      </c>
      <c r="R103" t="s">
        <v>1163</v>
      </c>
      <c r="S103" t="s">
        <v>735</v>
      </c>
      <c r="T103" t="s">
        <v>960</v>
      </c>
      <c r="U103">
        <v>1</v>
      </c>
      <c r="V103">
        <v>16875</v>
      </c>
      <c r="W103" t="s">
        <v>728</v>
      </c>
    </row>
    <row r="104" spans="1:23">
      <c r="A104" t="s">
        <v>1164</v>
      </c>
      <c r="B104" t="s">
        <v>1165</v>
      </c>
      <c r="C104" t="s">
        <v>833</v>
      </c>
      <c r="D104" t="s">
        <v>1166</v>
      </c>
      <c r="E104" t="s">
        <v>719</v>
      </c>
      <c r="F104" t="s">
        <v>1167</v>
      </c>
      <c r="G104" t="s">
        <v>1168</v>
      </c>
      <c r="I104">
        <v>1</v>
      </c>
      <c r="J104" t="s">
        <v>722</v>
      </c>
      <c r="K104" t="s">
        <v>723</v>
      </c>
      <c r="L104">
        <v>7561</v>
      </c>
      <c r="M104" t="s">
        <v>189</v>
      </c>
      <c r="N104" t="s">
        <v>795</v>
      </c>
      <c r="O104">
        <v>0.35663152460275882</v>
      </c>
      <c r="R104" t="s">
        <v>1169</v>
      </c>
      <c r="S104" t="s">
        <v>797</v>
      </c>
      <c r="T104" t="s">
        <v>1170</v>
      </c>
      <c r="U104">
        <v>1</v>
      </c>
      <c r="V104">
        <v>6930000</v>
      </c>
      <c r="W104" t="s">
        <v>728</v>
      </c>
    </row>
    <row r="105" spans="1:23">
      <c r="A105" t="s">
        <v>1171</v>
      </c>
      <c r="B105" t="s">
        <v>1172</v>
      </c>
      <c r="C105" t="s">
        <v>861</v>
      </c>
      <c r="D105" t="s">
        <v>1173</v>
      </c>
      <c r="E105" t="s">
        <v>719</v>
      </c>
      <c r="F105" t="s">
        <v>720</v>
      </c>
      <c r="G105" t="s">
        <v>1174</v>
      </c>
      <c r="I105">
        <v>1</v>
      </c>
      <c r="J105" t="s">
        <v>722</v>
      </c>
      <c r="K105" t="s">
        <v>723</v>
      </c>
      <c r="L105">
        <v>16182</v>
      </c>
      <c r="M105" t="s">
        <v>135</v>
      </c>
      <c r="N105" t="s">
        <v>1011</v>
      </c>
      <c r="O105">
        <v>0.58929572069718017</v>
      </c>
      <c r="R105" t="s">
        <v>1175</v>
      </c>
      <c r="S105" t="s">
        <v>1013</v>
      </c>
      <c r="T105" t="s">
        <v>1014</v>
      </c>
      <c r="U105">
        <v>1E-3</v>
      </c>
      <c r="V105">
        <v>40.799999999999997</v>
      </c>
      <c r="W105" t="s">
        <v>728</v>
      </c>
    </row>
    <row r="106" spans="1:23">
      <c r="A106" t="s">
        <v>1176</v>
      </c>
      <c r="B106" t="s">
        <v>191</v>
      </c>
      <c r="C106" t="s">
        <v>1177</v>
      </c>
      <c r="D106">
        <v>3500</v>
      </c>
      <c r="E106" t="s">
        <v>719</v>
      </c>
      <c r="F106" t="s">
        <v>720</v>
      </c>
      <c r="G106" t="s">
        <v>1178</v>
      </c>
      <c r="I106">
        <v>1</v>
      </c>
      <c r="J106" t="s">
        <v>722</v>
      </c>
      <c r="K106" t="s">
        <v>723</v>
      </c>
      <c r="L106">
        <v>16209</v>
      </c>
      <c r="M106" t="s">
        <v>193</v>
      </c>
      <c r="N106" t="s">
        <v>748</v>
      </c>
      <c r="O106">
        <v>0.34872119049070122</v>
      </c>
      <c r="R106" t="s">
        <v>1179</v>
      </c>
      <c r="S106" t="s">
        <v>1180</v>
      </c>
      <c r="T106" t="s">
        <v>1181</v>
      </c>
      <c r="U106">
        <v>1</v>
      </c>
      <c r="V106">
        <v>1046500</v>
      </c>
      <c r="W106" t="s">
        <v>728</v>
      </c>
    </row>
    <row r="107" spans="1:23">
      <c r="A107" t="s">
        <v>1182</v>
      </c>
      <c r="B107" t="s">
        <v>194</v>
      </c>
      <c r="C107" t="s">
        <v>1177</v>
      </c>
      <c r="D107" t="s">
        <v>1183</v>
      </c>
      <c r="E107" t="s">
        <v>719</v>
      </c>
      <c r="F107" t="s">
        <v>720</v>
      </c>
      <c r="G107" t="s">
        <v>1052</v>
      </c>
      <c r="I107">
        <v>1</v>
      </c>
      <c r="J107" t="s">
        <v>722</v>
      </c>
      <c r="K107" t="s">
        <v>723</v>
      </c>
      <c r="L107">
        <v>1899</v>
      </c>
      <c r="M107" t="s">
        <v>196</v>
      </c>
      <c r="N107" t="s">
        <v>1184</v>
      </c>
      <c r="O107">
        <v>0.37389763561179229</v>
      </c>
      <c r="R107" t="s">
        <v>1185</v>
      </c>
      <c r="S107" t="s">
        <v>1186</v>
      </c>
      <c r="T107" t="s">
        <v>1187</v>
      </c>
      <c r="U107">
        <v>1</v>
      </c>
      <c r="V107">
        <v>910000</v>
      </c>
      <c r="W107" t="s">
        <v>728</v>
      </c>
    </row>
    <row r="108" spans="1:23">
      <c r="A108" t="s">
        <v>1188</v>
      </c>
      <c r="B108" t="s">
        <v>197</v>
      </c>
      <c r="C108" t="s">
        <v>1177</v>
      </c>
      <c r="D108" t="s">
        <v>1189</v>
      </c>
      <c r="E108" t="s">
        <v>719</v>
      </c>
      <c r="F108" t="s">
        <v>720</v>
      </c>
      <c r="G108" t="s">
        <v>1190</v>
      </c>
      <c r="I108">
        <v>1</v>
      </c>
      <c r="J108" t="s">
        <v>722</v>
      </c>
      <c r="K108" t="s">
        <v>723</v>
      </c>
      <c r="L108">
        <v>1899</v>
      </c>
      <c r="M108" t="s">
        <v>196</v>
      </c>
      <c r="N108" t="s">
        <v>1184</v>
      </c>
      <c r="O108">
        <v>0.37195833178791821</v>
      </c>
      <c r="R108" t="s">
        <v>1191</v>
      </c>
      <c r="S108" t="s">
        <v>1186</v>
      </c>
      <c r="T108" t="s">
        <v>1187</v>
      </c>
      <c r="U108">
        <v>1</v>
      </c>
      <c r="V108">
        <v>455000</v>
      </c>
      <c r="W108" t="s">
        <v>728</v>
      </c>
    </row>
    <row r="109" spans="1:23">
      <c r="A109" t="s">
        <v>1192</v>
      </c>
      <c r="B109" t="s">
        <v>191</v>
      </c>
      <c r="C109" t="s">
        <v>1177</v>
      </c>
      <c r="D109" t="s">
        <v>1189</v>
      </c>
      <c r="E109" t="s">
        <v>719</v>
      </c>
      <c r="F109" t="s">
        <v>720</v>
      </c>
      <c r="G109" t="s">
        <v>1193</v>
      </c>
      <c r="I109">
        <v>1</v>
      </c>
      <c r="J109" t="s">
        <v>722</v>
      </c>
      <c r="K109" t="s">
        <v>723</v>
      </c>
      <c r="L109">
        <v>16209</v>
      </c>
      <c r="M109" t="s">
        <v>193</v>
      </c>
      <c r="N109" t="s">
        <v>748</v>
      </c>
      <c r="O109">
        <v>0.34842246911014968</v>
      </c>
      <c r="R109" t="s">
        <v>1194</v>
      </c>
      <c r="S109" t="s">
        <v>1180</v>
      </c>
      <c r="T109" t="s">
        <v>1181</v>
      </c>
      <c r="U109">
        <v>1</v>
      </c>
      <c r="V109">
        <v>209300</v>
      </c>
      <c r="W109" t="s">
        <v>728</v>
      </c>
    </row>
    <row r="110" spans="1:23">
      <c r="A110" t="s">
        <v>1195</v>
      </c>
      <c r="B110" t="s">
        <v>199</v>
      </c>
      <c r="C110" t="s">
        <v>1177</v>
      </c>
      <c r="D110" t="s">
        <v>1196</v>
      </c>
      <c r="E110" t="s">
        <v>719</v>
      </c>
      <c r="F110" t="s">
        <v>720</v>
      </c>
      <c r="G110" t="s">
        <v>1197</v>
      </c>
      <c r="I110">
        <v>1</v>
      </c>
      <c r="J110" t="s">
        <v>722</v>
      </c>
      <c r="K110" t="s">
        <v>723</v>
      </c>
      <c r="L110">
        <v>16211</v>
      </c>
      <c r="M110" t="s">
        <v>154</v>
      </c>
      <c r="N110" t="s">
        <v>724</v>
      </c>
      <c r="O110">
        <v>0.379060914089695</v>
      </c>
      <c r="R110" t="s">
        <v>1198</v>
      </c>
      <c r="S110" t="s">
        <v>726</v>
      </c>
      <c r="T110" t="s">
        <v>1061</v>
      </c>
      <c r="U110">
        <v>1</v>
      </c>
      <c r="V110">
        <v>552</v>
      </c>
      <c r="W110" t="s">
        <v>728</v>
      </c>
    </row>
    <row r="111" spans="1:23">
      <c r="A111" t="s">
        <v>1199</v>
      </c>
      <c r="B111" t="s">
        <v>201</v>
      </c>
      <c r="C111" t="s">
        <v>1177</v>
      </c>
      <c r="D111">
        <v>1050</v>
      </c>
      <c r="E111" t="s">
        <v>719</v>
      </c>
      <c r="F111" t="s">
        <v>720</v>
      </c>
      <c r="G111" t="s">
        <v>1168</v>
      </c>
      <c r="I111">
        <v>1</v>
      </c>
      <c r="J111" t="s">
        <v>722</v>
      </c>
      <c r="K111" t="s">
        <v>723</v>
      </c>
      <c r="L111">
        <v>16209</v>
      </c>
      <c r="M111" t="s">
        <v>193</v>
      </c>
      <c r="N111" t="s">
        <v>748</v>
      </c>
      <c r="O111">
        <v>0.39618130848910188</v>
      </c>
      <c r="R111" t="s">
        <v>1200</v>
      </c>
      <c r="S111" t="s">
        <v>1180</v>
      </c>
      <c r="T111" t="s">
        <v>1181</v>
      </c>
      <c r="U111">
        <v>1</v>
      </c>
      <c r="V111">
        <v>313950</v>
      </c>
      <c r="W111" t="s">
        <v>728</v>
      </c>
    </row>
    <row r="112" spans="1:23">
      <c r="A112" t="s">
        <v>1201</v>
      </c>
      <c r="B112" t="s">
        <v>203</v>
      </c>
      <c r="C112" t="s">
        <v>1177</v>
      </c>
      <c r="D112" t="s">
        <v>1189</v>
      </c>
      <c r="E112" t="s">
        <v>719</v>
      </c>
      <c r="F112" t="s">
        <v>720</v>
      </c>
      <c r="G112" t="s">
        <v>1202</v>
      </c>
      <c r="I112">
        <v>1</v>
      </c>
      <c r="J112" t="s">
        <v>722</v>
      </c>
      <c r="K112" t="s">
        <v>723</v>
      </c>
      <c r="L112">
        <v>16211</v>
      </c>
      <c r="M112" t="s">
        <v>154</v>
      </c>
      <c r="N112" t="s">
        <v>724</v>
      </c>
      <c r="O112">
        <v>0.37217702345929782</v>
      </c>
      <c r="R112" t="s">
        <v>1203</v>
      </c>
      <c r="S112" t="s">
        <v>726</v>
      </c>
      <c r="T112" t="s">
        <v>1061</v>
      </c>
      <c r="U112">
        <v>1</v>
      </c>
      <c r="V112">
        <v>193200</v>
      </c>
      <c r="W112" t="s">
        <v>728</v>
      </c>
    </row>
    <row r="113" spans="1:23">
      <c r="A113" t="s">
        <v>1204</v>
      </c>
      <c r="B113" t="s">
        <v>205</v>
      </c>
      <c r="C113" t="s">
        <v>1177</v>
      </c>
      <c r="D113" t="s">
        <v>1189</v>
      </c>
      <c r="E113" t="s">
        <v>719</v>
      </c>
      <c r="F113" t="s">
        <v>720</v>
      </c>
      <c r="G113" t="s">
        <v>1205</v>
      </c>
      <c r="I113">
        <v>1</v>
      </c>
      <c r="J113" t="s">
        <v>722</v>
      </c>
      <c r="K113" t="s">
        <v>723</v>
      </c>
      <c r="L113">
        <v>1899</v>
      </c>
      <c r="M113" t="s">
        <v>196</v>
      </c>
      <c r="N113" t="s">
        <v>1184</v>
      </c>
      <c r="O113">
        <v>0.37065775860393441</v>
      </c>
      <c r="R113" t="s">
        <v>1206</v>
      </c>
      <c r="S113" t="s">
        <v>1186</v>
      </c>
      <c r="T113" t="s">
        <v>1187</v>
      </c>
      <c r="U113">
        <v>1</v>
      </c>
      <c r="V113">
        <v>455000</v>
      </c>
      <c r="W113" t="s">
        <v>728</v>
      </c>
    </row>
    <row r="114" spans="1:23">
      <c r="A114" t="s">
        <v>1207</v>
      </c>
      <c r="B114" t="s">
        <v>207</v>
      </c>
      <c r="C114" t="s">
        <v>1177</v>
      </c>
      <c r="D114">
        <v>382.5</v>
      </c>
      <c r="E114" t="s">
        <v>719</v>
      </c>
      <c r="F114" t="s">
        <v>720</v>
      </c>
      <c r="G114" t="s">
        <v>1208</v>
      </c>
      <c r="I114">
        <v>1</v>
      </c>
      <c r="J114" t="s">
        <v>722</v>
      </c>
      <c r="K114" t="s">
        <v>723</v>
      </c>
      <c r="L114">
        <v>16209</v>
      </c>
      <c r="M114" t="s">
        <v>193</v>
      </c>
      <c r="N114" t="s">
        <v>748</v>
      </c>
      <c r="O114">
        <v>0.34882206603894178</v>
      </c>
      <c r="R114" t="s">
        <v>1209</v>
      </c>
      <c r="S114" t="s">
        <v>1180</v>
      </c>
      <c r="T114" t="s">
        <v>1181</v>
      </c>
      <c r="U114">
        <v>1</v>
      </c>
      <c r="V114">
        <v>114367.5</v>
      </c>
      <c r="W114" t="s">
        <v>728</v>
      </c>
    </row>
    <row r="115" spans="1:23">
      <c r="A115" t="s">
        <v>1210</v>
      </c>
      <c r="B115" t="s">
        <v>209</v>
      </c>
      <c r="C115" t="s">
        <v>1177</v>
      </c>
      <c r="D115" t="s">
        <v>1211</v>
      </c>
      <c r="E115" t="s">
        <v>719</v>
      </c>
      <c r="F115" t="s">
        <v>720</v>
      </c>
      <c r="G115" t="s">
        <v>1212</v>
      </c>
      <c r="I115">
        <v>1</v>
      </c>
      <c r="J115" t="s">
        <v>722</v>
      </c>
      <c r="K115" t="s">
        <v>723</v>
      </c>
      <c r="L115">
        <v>16212</v>
      </c>
      <c r="M115" t="s">
        <v>112</v>
      </c>
      <c r="N115" t="s">
        <v>733</v>
      </c>
      <c r="O115">
        <v>0.35989328015868399</v>
      </c>
      <c r="R115" t="s">
        <v>1213</v>
      </c>
      <c r="S115" t="s">
        <v>735</v>
      </c>
      <c r="T115" t="s">
        <v>960</v>
      </c>
      <c r="U115">
        <v>1</v>
      </c>
      <c r="V115">
        <v>95625</v>
      </c>
      <c r="W115" t="s">
        <v>728</v>
      </c>
    </row>
    <row r="116" spans="1:23">
      <c r="A116" t="s">
        <v>1214</v>
      </c>
      <c r="B116" t="s">
        <v>211</v>
      </c>
      <c r="C116" t="s">
        <v>1177</v>
      </c>
      <c r="D116">
        <v>382.5</v>
      </c>
      <c r="E116" t="s">
        <v>719</v>
      </c>
      <c r="F116" t="s">
        <v>720</v>
      </c>
      <c r="G116" t="s">
        <v>1215</v>
      </c>
      <c r="I116">
        <v>1</v>
      </c>
      <c r="J116" t="s">
        <v>722</v>
      </c>
      <c r="K116" t="s">
        <v>723</v>
      </c>
      <c r="L116">
        <v>16211</v>
      </c>
      <c r="M116" t="s">
        <v>154</v>
      </c>
      <c r="N116" t="s">
        <v>724</v>
      </c>
      <c r="O116">
        <v>0.36454500527062361</v>
      </c>
      <c r="R116" t="s">
        <v>1216</v>
      </c>
      <c r="S116" t="s">
        <v>726</v>
      </c>
      <c r="T116" t="s">
        <v>1061</v>
      </c>
      <c r="U116">
        <v>1</v>
      </c>
      <c r="V116">
        <v>105570</v>
      </c>
      <c r="W116" t="s">
        <v>728</v>
      </c>
    </row>
    <row r="117" spans="1:23">
      <c r="A117" t="s">
        <v>1217</v>
      </c>
      <c r="B117" t="s">
        <v>191</v>
      </c>
      <c r="C117" t="s">
        <v>1177</v>
      </c>
      <c r="D117" t="s">
        <v>1211</v>
      </c>
      <c r="E117" t="s">
        <v>719</v>
      </c>
      <c r="F117" t="s">
        <v>720</v>
      </c>
      <c r="G117" t="s">
        <v>1218</v>
      </c>
      <c r="I117">
        <v>1</v>
      </c>
      <c r="J117" t="s">
        <v>722</v>
      </c>
      <c r="K117" t="s">
        <v>723</v>
      </c>
      <c r="L117">
        <v>16209</v>
      </c>
      <c r="M117" t="s">
        <v>193</v>
      </c>
      <c r="N117" t="s">
        <v>748</v>
      </c>
      <c r="O117">
        <v>0.34823267293586729</v>
      </c>
      <c r="R117" t="s">
        <v>1219</v>
      </c>
      <c r="S117" t="s">
        <v>1180</v>
      </c>
      <c r="T117" t="s">
        <v>1181</v>
      </c>
      <c r="U117">
        <v>1</v>
      </c>
      <c r="V117">
        <v>114367.5</v>
      </c>
      <c r="W117" t="s">
        <v>728</v>
      </c>
    </row>
    <row r="118" spans="1:23">
      <c r="A118" t="s">
        <v>1220</v>
      </c>
      <c r="B118" t="s">
        <v>213</v>
      </c>
      <c r="C118" t="s">
        <v>1177</v>
      </c>
      <c r="D118">
        <v>292.5</v>
      </c>
      <c r="E118" t="s">
        <v>719</v>
      </c>
      <c r="F118" t="s">
        <v>720</v>
      </c>
      <c r="G118" t="s">
        <v>1221</v>
      </c>
      <c r="I118">
        <v>1</v>
      </c>
      <c r="J118" t="s">
        <v>722</v>
      </c>
      <c r="K118" t="s">
        <v>723</v>
      </c>
      <c r="L118">
        <v>16211</v>
      </c>
      <c r="M118" t="s">
        <v>154</v>
      </c>
      <c r="N118" t="s">
        <v>724</v>
      </c>
      <c r="O118">
        <v>0.36754431218253669</v>
      </c>
      <c r="R118" t="s">
        <v>1222</v>
      </c>
      <c r="S118" t="s">
        <v>726</v>
      </c>
      <c r="T118" t="s">
        <v>1061</v>
      </c>
      <c r="U118">
        <v>1</v>
      </c>
      <c r="V118">
        <v>80730</v>
      </c>
      <c r="W118" t="s">
        <v>728</v>
      </c>
    </row>
    <row r="119" spans="1:23">
      <c r="A119" t="s">
        <v>1223</v>
      </c>
      <c r="B119" t="s">
        <v>215</v>
      </c>
      <c r="C119" t="s">
        <v>1177</v>
      </c>
      <c r="D119" t="s">
        <v>1224</v>
      </c>
      <c r="E119" t="s">
        <v>719</v>
      </c>
      <c r="F119" t="s">
        <v>720</v>
      </c>
      <c r="G119" t="s">
        <v>1225</v>
      </c>
      <c r="I119">
        <v>1</v>
      </c>
      <c r="J119" t="s">
        <v>722</v>
      </c>
      <c r="K119" t="s">
        <v>723</v>
      </c>
      <c r="L119">
        <v>16211</v>
      </c>
      <c r="M119" t="s">
        <v>154</v>
      </c>
      <c r="N119" t="s">
        <v>724</v>
      </c>
      <c r="O119">
        <v>0.35685962822362088</v>
      </c>
      <c r="R119" t="s">
        <v>1226</v>
      </c>
      <c r="S119" t="s">
        <v>726</v>
      </c>
      <c r="T119" t="s">
        <v>1061</v>
      </c>
      <c r="U119">
        <v>1</v>
      </c>
      <c r="V119">
        <v>80730</v>
      </c>
      <c r="W119" t="s">
        <v>728</v>
      </c>
    </row>
    <row r="120" spans="1:23">
      <c r="A120" t="s">
        <v>1227</v>
      </c>
      <c r="B120" t="s">
        <v>217</v>
      </c>
      <c r="C120" t="s">
        <v>786</v>
      </c>
      <c r="D120" t="s">
        <v>1228</v>
      </c>
      <c r="E120" t="s">
        <v>719</v>
      </c>
      <c r="F120" t="s">
        <v>720</v>
      </c>
      <c r="G120" t="s">
        <v>1229</v>
      </c>
      <c r="I120">
        <v>1</v>
      </c>
      <c r="J120" t="s">
        <v>722</v>
      </c>
      <c r="K120" t="s">
        <v>723</v>
      </c>
      <c r="L120">
        <v>16282</v>
      </c>
      <c r="M120" t="s">
        <v>72</v>
      </c>
      <c r="N120" t="s">
        <v>733</v>
      </c>
      <c r="O120">
        <v>0.51508911351895714</v>
      </c>
      <c r="R120" t="s">
        <v>1230</v>
      </c>
      <c r="S120" t="s">
        <v>735</v>
      </c>
      <c r="T120" t="s">
        <v>790</v>
      </c>
      <c r="U120">
        <v>1</v>
      </c>
      <c r="V120">
        <v>190615</v>
      </c>
      <c r="W120" t="s">
        <v>728</v>
      </c>
    </row>
    <row r="121" spans="1:23">
      <c r="A121" t="s">
        <v>1231</v>
      </c>
      <c r="B121" t="s">
        <v>217</v>
      </c>
      <c r="C121" t="s">
        <v>786</v>
      </c>
      <c r="D121">
        <v>130.65</v>
      </c>
      <c r="E121" t="s">
        <v>746</v>
      </c>
      <c r="F121" t="s">
        <v>1057</v>
      </c>
      <c r="G121" t="s">
        <v>1089</v>
      </c>
      <c r="L121">
        <v>16281</v>
      </c>
      <c r="M121" t="s">
        <v>220</v>
      </c>
      <c r="N121" t="s">
        <v>724</v>
      </c>
      <c r="O121">
        <v>0.42838116075112248</v>
      </c>
      <c r="R121" t="s">
        <v>1232</v>
      </c>
      <c r="S121" t="s">
        <v>983</v>
      </c>
      <c r="T121" t="s">
        <v>1233</v>
      </c>
      <c r="U121">
        <v>1</v>
      </c>
      <c r="V121">
        <v>9406.8000000000011</v>
      </c>
      <c r="W121" t="s">
        <v>728</v>
      </c>
    </row>
    <row r="122" spans="1:23">
      <c r="A122" t="s">
        <v>1234</v>
      </c>
      <c r="B122" t="s">
        <v>221</v>
      </c>
      <c r="C122" t="s">
        <v>786</v>
      </c>
      <c r="D122" t="s">
        <v>1235</v>
      </c>
      <c r="E122" t="s">
        <v>719</v>
      </c>
      <c r="F122" t="s">
        <v>720</v>
      </c>
      <c r="G122" t="s">
        <v>1236</v>
      </c>
      <c r="I122">
        <v>1</v>
      </c>
      <c r="J122" t="s">
        <v>722</v>
      </c>
      <c r="K122" t="s">
        <v>723</v>
      </c>
      <c r="L122">
        <v>16282</v>
      </c>
      <c r="M122" t="s">
        <v>72</v>
      </c>
      <c r="N122" t="s">
        <v>733</v>
      </c>
      <c r="O122">
        <v>0.48771128320677298</v>
      </c>
      <c r="R122" t="s">
        <v>1237</v>
      </c>
      <c r="S122" t="s">
        <v>735</v>
      </c>
      <c r="T122" t="s">
        <v>790</v>
      </c>
      <c r="U122">
        <v>1</v>
      </c>
      <c r="V122">
        <v>210331.09</v>
      </c>
      <c r="W122" t="s">
        <v>728</v>
      </c>
    </row>
    <row r="123" spans="1:23">
      <c r="A123" t="s">
        <v>1238</v>
      </c>
      <c r="B123" t="s">
        <v>217</v>
      </c>
      <c r="C123" t="s">
        <v>786</v>
      </c>
      <c r="D123" t="s">
        <v>1239</v>
      </c>
      <c r="E123" t="s">
        <v>719</v>
      </c>
      <c r="F123" t="s">
        <v>720</v>
      </c>
      <c r="G123" t="s">
        <v>830</v>
      </c>
      <c r="I123">
        <v>1</v>
      </c>
      <c r="J123" t="s">
        <v>722</v>
      </c>
      <c r="K123" t="s">
        <v>723</v>
      </c>
      <c r="L123">
        <v>16282</v>
      </c>
      <c r="M123" t="s">
        <v>72</v>
      </c>
      <c r="N123" t="s">
        <v>733</v>
      </c>
      <c r="O123">
        <v>0.51385625149266811</v>
      </c>
      <c r="R123" t="s">
        <v>1240</v>
      </c>
      <c r="S123" t="s">
        <v>735</v>
      </c>
      <c r="T123" t="s">
        <v>790</v>
      </c>
      <c r="U123">
        <v>1</v>
      </c>
      <c r="V123">
        <v>70350</v>
      </c>
      <c r="W123" t="s">
        <v>728</v>
      </c>
    </row>
    <row r="124" spans="1:23">
      <c r="A124" t="s">
        <v>1241</v>
      </c>
      <c r="B124" t="s">
        <v>217</v>
      </c>
      <c r="C124" t="s">
        <v>786</v>
      </c>
      <c r="D124">
        <v>4905.21</v>
      </c>
      <c r="E124" t="s">
        <v>719</v>
      </c>
      <c r="F124" t="s">
        <v>720</v>
      </c>
      <c r="G124" t="s">
        <v>1242</v>
      </c>
      <c r="I124">
        <v>1</v>
      </c>
      <c r="J124" t="s">
        <v>722</v>
      </c>
      <c r="K124" t="s">
        <v>723</v>
      </c>
      <c r="L124">
        <v>16282</v>
      </c>
      <c r="M124" t="s">
        <v>72</v>
      </c>
      <c r="N124" t="s">
        <v>733</v>
      </c>
      <c r="O124">
        <v>0.51424252509263169</v>
      </c>
      <c r="R124" t="s">
        <v>1243</v>
      </c>
      <c r="S124" t="s">
        <v>735</v>
      </c>
      <c r="T124" t="s">
        <v>790</v>
      </c>
      <c r="U124">
        <v>1</v>
      </c>
      <c r="V124">
        <v>328649.07</v>
      </c>
      <c r="W124" t="s">
        <v>728</v>
      </c>
    </row>
    <row r="125" spans="1:23">
      <c r="A125" t="s">
        <v>1244</v>
      </c>
      <c r="B125" t="s">
        <v>223</v>
      </c>
      <c r="C125" t="s">
        <v>1245</v>
      </c>
      <c r="D125" t="s">
        <v>1246</v>
      </c>
      <c r="E125" t="s">
        <v>719</v>
      </c>
      <c r="F125" t="s">
        <v>1247</v>
      </c>
      <c r="G125" t="s">
        <v>1248</v>
      </c>
      <c r="H125" t="s">
        <v>1249</v>
      </c>
      <c r="I125">
        <v>1</v>
      </c>
      <c r="J125" t="s">
        <v>722</v>
      </c>
      <c r="K125" t="s">
        <v>723</v>
      </c>
      <c r="L125">
        <v>1561</v>
      </c>
      <c r="M125" t="s">
        <v>225</v>
      </c>
      <c r="N125" t="s">
        <v>969</v>
      </c>
      <c r="O125">
        <v>0.7607248242946143</v>
      </c>
      <c r="R125" t="s">
        <v>1250</v>
      </c>
      <c r="S125" t="s">
        <v>998</v>
      </c>
      <c r="T125" t="s">
        <v>1251</v>
      </c>
      <c r="U125">
        <v>1</v>
      </c>
      <c r="V125">
        <v>70028.760000000009</v>
      </c>
      <c r="W125" t="s">
        <v>728</v>
      </c>
    </row>
    <row r="126" spans="1:23">
      <c r="A126" t="s">
        <v>1252</v>
      </c>
      <c r="B126" t="s">
        <v>227</v>
      </c>
      <c r="C126" t="s">
        <v>1245</v>
      </c>
      <c r="D126">
        <v>479</v>
      </c>
      <c r="E126" t="s">
        <v>719</v>
      </c>
      <c r="F126" t="s">
        <v>720</v>
      </c>
      <c r="G126" t="s">
        <v>1253</v>
      </c>
      <c r="H126" t="s">
        <v>1254</v>
      </c>
      <c r="I126">
        <v>1</v>
      </c>
      <c r="J126" t="s">
        <v>722</v>
      </c>
      <c r="K126" t="s">
        <v>723</v>
      </c>
      <c r="L126">
        <v>1512</v>
      </c>
      <c r="M126" t="s">
        <v>225</v>
      </c>
      <c r="N126" t="s">
        <v>1255</v>
      </c>
      <c r="O126">
        <v>0.56369343281426088</v>
      </c>
      <c r="R126" t="s">
        <v>1256</v>
      </c>
      <c r="S126" t="s">
        <v>1257</v>
      </c>
      <c r="T126" t="s">
        <v>1258</v>
      </c>
      <c r="U126">
        <v>1</v>
      </c>
      <c r="V126">
        <v>79993</v>
      </c>
      <c r="W126" t="s">
        <v>728</v>
      </c>
    </row>
    <row r="127" spans="1:23">
      <c r="A127" t="s">
        <v>1259</v>
      </c>
      <c r="B127" t="s">
        <v>229</v>
      </c>
      <c r="C127" t="s">
        <v>738</v>
      </c>
      <c r="D127" t="s">
        <v>1260</v>
      </c>
      <c r="E127" t="s">
        <v>231</v>
      </c>
      <c r="F127" t="s">
        <v>1261</v>
      </c>
      <c r="G127" t="s">
        <v>1262</v>
      </c>
      <c r="L127">
        <v>16182</v>
      </c>
      <c r="M127" t="s">
        <v>135</v>
      </c>
      <c r="N127" t="s">
        <v>1011</v>
      </c>
      <c r="O127">
        <v>0.56340739707413889</v>
      </c>
      <c r="R127" t="s">
        <v>1263</v>
      </c>
      <c r="S127" t="s">
        <v>1264</v>
      </c>
      <c r="T127" t="s">
        <v>1014</v>
      </c>
      <c r="U127">
        <v>1</v>
      </c>
      <c r="V127">
        <v>595000</v>
      </c>
      <c r="W127" t="s">
        <v>728</v>
      </c>
    </row>
    <row r="128" spans="1:23">
      <c r="A128" t="s">
        <v>1265</v>
      </c>
      <c r="B128" t="s">
        <v>232</v>
      </c>
      <c r="C128" t="s">
        <v>738</v>
      </c>
      <c r="D128" t="s">
        <v>1266</v>
      </c>
      <c r="E128" t="s">
        <v>719</v>
      </c>
      <c r="F128" t="s">
        <v>720</v>
      </c>
      <c r="G128" t="s">
        <v>1128</v>
      </c>
      <c r="I128">
        <v>1</v>
      </c>
      <c r="J128" t="s">
        <v>722</v>
      </c>
      <c r="K128" t="s">
        <v>723</v>
      </c>
      <c r="L128">
        <v>16257</v>
      </c>
      <c r="M128" t="s">
        <v>234</v>
      </c>
      <c r="N128" t="s">
        <v>733</v>
      </c>
      <c r="O128">
        <v>0.43734697344882512</v>
      </c>
      <c r="R128" t="s">
        <v>1267</v>
      </c>
      <c r="S128" t="s">
        <v>735</v>
      </c>
      <c r="T128" t="s">
        <v>1268</v>
      </c>
      <c r="U128">
        <v>1</v>
      </c>
      <c r="V128">
        <v>6355.28</v>
      </c>
      <c r="W128" t="s">
        <v>728</v>
      </c>
    </row>
    <row r="129" spans="1:23">
      <c r="A129" t="s">
        <v>1269</v>
      </c>
      <c r="B129" t="s">
        <v>235</v>
      </c>
      <c r="C129" t="s">
        <v>833</v>
      </c>
      <c r="D129" t="s">
        <v>1270</v>
      </c>
      <c r="E129" t="s">
        <v>719</v>
      </c>
      <c r="F129" t="s">
        <v>720</v>
      </c>
      <c r="G129" t="s">
        <v>1271</v>
      </c>
      <c r="I129">
        <v>1</v>
      </c>
      <c r="J129" t="s">
        <v>722</v>
      </c>
      <c r="K129" t="s">
        <v>723</v>
      </c>
      <c r="L129">
        <v>16253</v>
      </c>
      <c r="M129" t="s">
        <v>237</v>
      </c>
      <c r="N129" t="s">
        <v>795</v>
      </c>
      <c r="O129">
        <v>0.39268304433079909</v>
      </c>
      <c r="R129" t="s">
        <v>1272</v>
      </c>
      <c r="S129" t="s">
        <v>797</v>
      </c>
      <c r="T129" t="s">
        <v>1273</v>
      </c>
      <c r="U129">
        <v>1</v>
      </c>
      <c r="V129">
        <v>5277.5</v>
      </c>
      <c r="W129" t="s">
        <v>728</v>
      </c>
    </row>
    <row r="130" spans="1:23">
      <c r="A130" t="s">
        <v>1274</v>
      </c>
      <c r="B130" t="s">
        <v>238</v>
      </c>
      <c r="C130" t="s">
        <v>833</v>
      </c>
      <c r="D130" t="s">
        <v>1270</v>
      </c>
      <c r="E130" t="s">
        <v>719</v>
      </c>
      <c r="F130" t="s">
        <v>720</v>
      </c>
      <c r="G130" t="s">
        <v>1133</v>
      </c>
      <c r="I130">
        <v>1</v>
      </c>
      <c r="J130" t="s">
        <v>722</v>
      </c>
      <c r="K130" t="s">
        <v>723</v>
      </c>
      <c r="L130">
        <v>16257</v>
      </c>
      <c r="M130" t="s">
        <v>234</v>
      </c>
      <c r="N130" t="s">
        <v>733</v>
      </c>
      <c r="O130">
        <v>0.39426131736930792</v>
      </c>
      <c r="R130" t="s">
        <v>1275</v>
      </c>
      <c r="S130" t="s">
        <v>735</v>
      </c>
      <c r="T130" t="s">
        <v>1268</v>
      </c>
      <c r="U130">
        <v>1</v>
      </c>
      <c r="V130">
        <v>5741.92</v>
      </c>
      <c r="W130" t="s">
        <v>728</v>
      </c>
    </row>
    <row r="131" spans="1:23">
      <c r="A131" t="s">
        <v>1276</v>
      </c>
      <c r="B131" t="s">
        <v>105</v>
      </c>
      <c r="C131" t="s">
        <v>861</v>
      </c>
      <c r="D131" t="s">
        <v>1277</v>
      </c>
      <c r="E131" t="s">
        <v>231</v>
      </c>
      <c r="F131" t="s">
        <v>1261</v>
      </c>
      <c r="G131" t="s">
        <v>1278</v>
      </c>
      <c r="H131" t="s">
        <v>1279</v>
      </c>
      <c r="L131">
        <v>17520</v>
      </c>
      <c r="M131" t="s">
        <v>241</v>
      </c>
      <c r="N131" t="s">
        <v>837</v>
      </c>
      <c r="O131">
        <v>0.55727057315256068</v>
      </c>
      <c r="R131" t="s">
        <v>1280</v>
      </c>
      <c r="S131" t="s">
        <v>1281</v>
      </c>
      <c r="T131" t="s">
        <v>1282</v>
      </c>
      <c r="U131">
        <v>1</v>
      </c>
      <c r="V131">
        <v>10802.8</v>
      </c>
      <c r="W131" t="s">
        <v>728</v>
      </c>
    </row>
    <row r="132" spans="1:23">
      <c r="A132" t="s">
        <v>1283</v>
      </c>
      <c r="B132" t="s">
        <v>242</v>
      </c>
      <c r="C132" t="s">
        <v>833</v>
      </c>
      <c r="D132" t="s">
        <v>1284</v>
      </c>
      <c r="E132" t="s">
        <v>231</v>
      </c>
      <c r="F132" t="s">
        <v>1261</v>
      </c>
      <c r="G132" t="s">
        <v>1285</v>
      </c>
      <c r="H132" t="s">
        <v>880</v>
      </c>
      <c r="L132">
        <v>537</v>
      </c>
      <c r="M132" t="s">
        <v>90</v>
      </c>
      <c r="N132" t="s">
        <v>837</v>
      </c>
      <c r="O132">
        <v>0.72246645564429368</v>
      </c>
      <c r="R132" t="s">
        <v>1286</v>
      </c>
      <c r="S132" t="s">
        <v>1281</v>
      </c>
      <c r="T132" t="s">
        <v>1287</v>
      </c>
      <c r="U132">
        <v>1</v>
      </c>
      <c r="V132">
        <v>3030</v>
      </c>
      <c r="W132" t="s">
        <v>728</v>
      </c>
    </row>
    <row r="133" spans="1:23">
      <c r="A133" t="s">
        <v>1288</v>
      </c>
      <c r="B133" t="s">
        <v>244</v>
      </c>
      <c r="C133" t="s">
        <v>1245</v>
      </c>
      <c r="D133" t="s">
        <v>1284</v>
      </c>
      <c r="E133" t="s">
        <v>231</v>
      </c>
      <c r="F133" t="s">
        <v>1261</v>
      </c>
      <c r="G133" t="s">
        <v>1289</v>
      </c>
      <c r="H133" t="s">
        <v>1290</v>
      </c>
      <c r="L133">
        <v>17524</v>
      </c>
      <c r="M133" t="s">
        <v>241</v>
      </c>
      <c r="N133" t="s">
        <v>837</v>
      </c>
      <c r="O133">
        <v>0.61996366861745766</v>
      </c>
      <c r="R133" t="s">
        <v>1291</v>
      </c>
      <c r="S133" t="s">
        <v>1281</v>
      </c>
      <c r="T133" t="s">
        <v>1292</v>
      </c>
      <c r="U133">
        <v>1</v>
      </c>
      <c r="V133">
        <v>5820</v>
      </c>
      <c r="W133" t="s">
        <v>728</v>
      </c>
    </row>
    <row r="134" spans="1:23">
      <c r="A134" t="s">
        <v>1293</v>
      </c>
      <c r="B134" t="s">
        <v>246</v>
      </c>
      <c r="C134" t="s">
        <v>833</v>
      </c>
      <c r="D134" t="s">
        <v>1284</v>
      </c>
      <c r="E134" t="s">
        <v>231</v>
      </c>
      <c r="F134" t="s">
        <v>1261</v>
      </c>
      <c r="G134" t="s">
        <v>1294</v>
      </c>
      <c r="H134" t="s">
        <v>890</v>
      </c>
      <c r="L134">
        <v>537</v>
      </c>
      <c r="M134" t="s">
        <v>90</v>
      </c>
      <c r="N134" t="s">
        <v>837</v>
      </c>
      <c r="O134">
        <v>0.71718138221186001</v>
      </c>
      <c r="R134" t="s">
        <v>1295</v>
      </c>
      <c r="S134" t="s">
        <v>1281</v>
      </c>
      <c r="T134" t="s">
        <v>1287</v>
      </c>
      <c r="U134">
        <v>1</v>
      </c>
      <c r="V134">
        <v>3030</v>
      </c>
      <c r="W134" t="s">
        <v>728</v>
      </c>
    </row>
    <row r="135" spans="1:23">
      <c r="A135" t="s">
        <v>1296</v>
      </c>
      <c r="B135" t="s">
        <v>248</v>
      </c>
      <c r="C135" t="s">
        <v>1245</v>
      </c>
      <c r="D135" t="s">
        <v>1277</v>
      </c>
      <c r="E135" t="s">
        <v>231</v>
      </c>
      <c r="F135" t="s">
        <v>1261</v>
      </c>
      <c r="G135" t="s">
        <v>1297</v>
      </c>
      <c r="H135" t="s">
        <v>1290</v>
      </c>
      <c r="L135">
        <v>17526</v>
      </c>
      <c r="M135" t="s">
        <v>241</v>
      </c>
      <c r="N135" t="s">
        <v>837</v>
      </c>
      <c r="O135">
        <v>0.62889734681580323</v>
      </c>
      <c r="R135" t="s">
        <v>1298</v>
      </c>
      <c r="S135" t="s">
        <v>1281</v>
      </c>
      <c r="T135" t="s">
        <v>1299</v>
      </c>
      <c r="U135">
        <v>1</v>
      </c>
      <c r="V135">
        <v>7576.2999999999993</v>
      </c>
      <c r="W135" t="s">
        <v>728</v>
      </c>
    </row>
    <row r="136" spans="1:23">
      <c r="A136" t="s">
        <v>1300</v>
      </c>
      <c r="B136" t="s">
        <v>250</v>
      </c>
      <c r="C136" t="s">
        <v>861</v>
      </c>
      <c r="D136" t="s">
        <v>1301</v>
      </c>
      <c r="E136" t="s">
        <v>719</v>
      </c>
      <c r="F136" t="s">
        <v>720</v>
      </c>
      <c r="G136" t="s">
        <v>1136</v>
      </c>
      <c r="I136">
        <v>1</v>
      </c>
      <c r="J136" t="s">
        <v>722</v>
      </c>
      <c r="K136" t="s">
        <v>723</v>
      </c>
      <c r="L136">
        <v>16253</v>
      </c>
      <c r="M136" t="s">
        <v>237</v>
      </c>
      <c r="N136" t="s">
        <v>795</v>
      </c>
      <c r="O136">
        <v>0.57508137662137593</v>
      </c>
      <c r="R136" t="s">
        <v>1302</v>
      </c>
      <c r="S136" t="s">
        <v>797</v>
      </c>
      <c r="T136" t="s">
        <v>1273</v>
      </c>
      <c r="U136">
        <v>1</v>
      </c>
      <c r="V136">
        <v>6248.75</v>
      </c>
      <c r="W136" t="s">
        <v>728</v>
      </c>
    </row>
    <row r="137" spans="1:23">
      <c r="A137" t="s">
        <v>1303</v>
      </c>
      <c r="B137" t="s">
        <v>252</v>
      </c>
      <c r="C137" t="s">
        <v>1245</v>
      </c>
      <c r="D137">
        <v>112.16</v>
      </c>
      <c r="F137" t="s">
        <v>1304</v>
      </c>
      <c r="G137" t="s">
        <v>1305</v>
      </c>
      <c r="H137" t="s">
        <v>1306</v>
      </c>
      <c r="L137">
        <v>1237</v>
      </c>
      <c r="M137" t="s">
        <v>225</v>
      </c>
      <c r="N137" t="s">
        <v>969</v>
      </c>
      <c r="O137">
        <v>0.78344692719576903</v>
      </c>
      <c r="R137" t="s">
        <v>1307</v>
      </c>
      <c r="T137" t="s">
        <v>1308</v>
      </c>
      <c r="U137">
        <v>1</v>
      </c>
      <c r="V137">
        <v>25123.84</v>
      </c>
      <c r="W137" t="s">
        <v>728</v>
      </c>
    </row>
    <row r="138" spans="1:23">
      <c r="A138" t="s">
        <v>1309</v>
      </c>
      <c r="B138" t="s">
        <v>254</v>
      </c>
      <c r="C138" t="s">
        <v>1245</v>
      </c>
      <c r="D138" t="s">
        <v>1310</v>
      </c>
      <c r="E138" t="s">
        <v>231</v>
      </c>
      <c r="F138" t="s">
        <v>1261</v>
      </c>
      <c r="G138" t="s">
        <v>1311</v>
      </c>
      <c r="H138" t="s">
        <v>1312</v>
      </c>
      <c r="L138">
        <v>11108</v>
      </c>
      <c r="M138" t="s">
        <v>104</v>
      </c>
      <c r="N138" t="s">
        <v>837</v>
      </c>
      <c r="O138">
        <v>0.60514400368393395</v>
      </c>
      <c r="R138" t="s">
        <v>1313</v>
      </c>
      <c r="S138" t="s">
        <v>1281</v>
      </c>
      <c r="T138" t="s">
        <v>882</v>
      </c>
      <c r="U138">
        <v>1</v>
      </c>
      <c r="V138">
        <v>25.65</v>
      </c>
      <c r="W138" t="s">
        <v>728</v>
      </c>
    </row>
    <row r="139" spans="1:23">
      <c r="A139" t="s">
        <v>1314</v>
      </c>
      <c r="B139" t="s">
        <v>256</v>
      </c>
      <c r="C139" t="s">
        <v>1245</v>
      </c>
      <c r="D139">
        <v>47.8</v>
      </c>
      <c r="E139" t="s">
        <v>231</v>
      </c>
      <c r="F139" t="s">
        <v>1261</v>
      </c>
      <c r="G139" t="s">
        <v>1311</v>
      </c>
      <c r="H139" t="s">
        <v>1315</v>
      </c>
      <c r="L139">
        <v>17526</v>
      </c>
      <c r="M139" t="s">
        <v>241</v>
      </c>
      <c r="N139" t="s">
        <v>837</v>
      </c>
      <c r="O139">
        <v>0.63656665220878283</v>
      </c>
      <c r="R139" t="s">
        <v>1316</v>
      </c>
      <c r="S139" t="s">
        <v>1281</v>
      </c>
      <c r="T139" t="s">
        <v>1299</v>
      </c>
      <c r="U139">
        <v>1</v>
      </c>
      <c r="V139">
        <v>15152.6</v>
      </c>
      <c r="W139" t="s">
        <v>728</v>
      </c>
    </row>
    <row r="140" spans="1:23">
      <c r="A140" t="s">
        <v>1317</v>
      </c>
      <c r="B140" t="s">
        <v>258</v>
      </c>
      <c r="C140" t="s">
        <v>833</v>
      </c>
      <c r="D140" t="s">
        <v>1318</v>
      </c>
      <c r="E140" t="s">
        <v>719</v>
      </c>
      <c r="F140" t="s">
        <v>720</v>
      </c>
      <c r="G140" t="s">
        <v>1319</v>
      </c>
      <c r="I140">
        <v>1</v>
      </c>
      <c r="J140" t="s">
        <v>722</v>
      </c>
      <c r="K140" t="s">
        <v>723</v>
      </c>
      <c r="L140">
        <v>16257</v>
      </c>
      <c r="M140" t="s">
        <v>234</v>
      </c>
      <c r="N140" t="s">
        <v>733</v>
      </c>
      <c r="O140">
        <v>0.3881853882587894</v>
      </c>
      <c r="R140" t="s">
        <v>1320</v>
      </c>
      <c r="S140" t="s">
        <v>735</v>
      </c>
      <c r="T140" t="s">
        <v>1268</v>
      </c>
      <c r="U140">
        <v>1</v>
      </c>
      <c r="V140">
        <v>4089.1120000000001</v>
      </c>
      <c r="W140" t="s">
        <v>728</v>
      </c>
    </row>
    <row r="141" spans="1:23">
      <c r="A141" t="s">
        <v>1321</v>
      </c>
      <c r="B141" t="s">
        <v>252</v>
      </c>
      <c r="C141" t="s">
        <v>1245</v>
      </c>
      <c r="D141" t="s">
        <v>1322</v>
      </c>
      <c r="E141" t="s">
        <v>719</v>
      </c>
      <c r="F141" t="s">
        <v>1304</v>
      </c>
      <c r="G141" t="s">
        <v>1319</v>
      </c>
      <c r="H141" t="s">
        <v>1323</v>
      </c>
      <c r="I141">
        <v>1</v>
      </c>
      <c r="J141" t="s">
        <v>722</v>
      </c>
      <c r="K141" t="s">
        <v>723</v>
      </c>
      <c r="L141">
        <v>1237</v>
      </c>
      <c r="M141" t="s">
        <v>225</v>
      </c>
      <c r="N141" t="s">
        <v>969</v>
      </c>
      <c r="O141">
        <v>0.77245640735379961</v>
      </c>
      <c r="R141" t="s">
        <v>1324</v>
      </c>
      <c r="S141" t="s">
        <v>998</v>
      </c>
      <c r="T141" t="s">
        <v>1308</v>
      </c>
      <c r="U141">
        <v>1</v>
      </c>
      <c r="V141">
        <v>25123.84</v>
      </c>
      <c r="W141" t="s">
        <v>728</v>
      </c>
    </row>
    <row r="142" spans="1:23">
      <c r="A142" t="s">
        <v>1325</v>
      </c>
      <c r="B142" t="s">
        <v>260</v>
      </c>
      <c r="C142" t="s">
        <v>861</v>
      </c>
      <c r="D142" t="s">
        <v>1326</v>
      </c>
      <c r="E142" t="s">
        <v>719</v>
      </c>
      <c r="F142" t="s">
        <v>720</v>
      </c>
      <c r="G142" t="s">
        <v>1319</v>
      </c>
      <c r="I142">
        <v>1</v>
      </c>
      <c r="J142" t="s">
        <v>722</v>
      </c>
      <c r="K142" t="s">
        <v>723</v>
      </c>
      <c r="L142">
        <v>16253</v>
      </c>
      <c r="M142" t="s">
        <v>237</v>
      </c>
      <c r="N142" t="s">
        <v>795</v>
      </c>
      <c r="O142">
        <v>0.5976893011390354</v>
      </c>
      <c r="R142" t="s">
        <v>1327</v>
      </c>
      <c r="S142" t="s">
        <v>797</v>
      </c>
      <c r="T142" t="s">
        <v>1273</v>
      </c>
      <c r="U142">
        <v>1</v>
      </c>
      <c r="V142">
        <v>5207.25</v>
      </c>
      <c r="W142" t="s">
        <v>728</v>
      </c>
    </row>
    <row r="143" spans="1:23">
      <c r="A143" t="s">
        <v>1328</v>
      </c>
      <c r="B143" t="s">
        <v>262</v>
      </c>
      <c r="C143" t="s">
        <v>861</v>
      </c>
      <c r="D143" t="s">
        <v>1329</v>
      </c>
      <c r="E143" t="s">
        <v>231</v>
      </c>
      <c r="F143" t="s">
        <v>1261</v>
      </c>
      <c r="G143" t="s">
        <v>1330</v>
      </c>
      <c r="L143">
        <v>4706</v>
      </c>
      <c r="M143" t="s">
        <v>131</v>
      </c>
      <c r="N143" t="s">
        <v>1331</v>
      </c>
      <c r="O143">
        <v>0.42515755653867959</v>
      </c>
      <c r="R143" t="s">
        <v>1332</v>
      </c>
      <c r="S143" t="s">
        <v>1333</v>
      </c>
      <c r="T143" t="s">
        <v>1334</v>
      </c>
      <c r="U143">
        <v>1</v>
      </c>
      <c r="V143">
        <v>2940000</v>
      </c>
      <c r="W143" t="s">
        <v>728</v>
      </c>
    </row>
    <row r="144" spans="1:23">
      <c r="A144" t="s">
        <v>1335</v>
      </c>
      <c r="B144" t="s">
        <v>264</v>
      </c>
      <c r="C144" t="s">
        <v>298</v>
      </c>
      <c r="D144" t="s">
        <v>1336</v>
      </c>
      <c r="E144" t="s">
        <v>1337</v>
      </c>
      <c r="F144" t="s">
        <v>1338</v>
      </c>
      <c r="G144" t="s">
        <v>1339</v>
      </c>
      <c r="H144" t="s">
        <v>298</v>
      </c>
      <c r="L144">
        <v>16211</v>
      </c>
      <c r="M144" t="s">
        <v>154</v>
      </c>
      <c r="N144" t="s">
        <v>724</v>
      </c>
      <c r="O144">
        <v>0.41936817576766899</v>
      </c>
      <c r="R144" t="s">
        <v>1340</v>
      </c>
      <c r="S144" t="s">
        <v>1341</v>
      </c>
      <c r="T144" t="s">
        <v>1061</v>
      </c>
      <c r="U144">
        <v>1</v>
      </c>
      <c r="V144">
        <v>123418.92</v>
      </c>
      <c r="W144" t="s">
        <v>728</v>
      </c>
    </row>
    <row r="145" spans="1:23">
      <c r="A145" t="s">
        <v>1342</v>
      </c>
      <c r="B145" t="s">
        <v>267</v>
      </c>
      <c r="C145" t="s">
        <v>1245</v>
      </c>
      <c r="D145" t="s">
        <v>1343</v>
      </c>
      <c r="E145" t="s">
        <v>719</v>
      </c>
      <c r="F145" t="s">
        <v>1344</v>
      </c>
      <c r="G145" t="s">
        <v>1178</v>
      </c>
      <c r="H145" t="s">
        <v>1323</v>
      </c>
      <c r="I145">
        <v>1</v>
      </c>
      <c r="J145" t="s">
        <v>722</v>
      </c>
      <c r="K145" t="s">
        <v>723</v>
      </c>
      <c r="L145">
        <v>138</v>
      </c>
      <c r="M145" t="s">
        <v>269</v>
      </c>
      <c r="N145" t="s">
        <v>724</v>
      </c>
      <c r="O145">
        <v>0.39200556106594131</v>
      </c>
      <c r="R145" t="s">
        <v>1345</v>
      </c>
      <c r="S145" t="s">
        <v>726</v>
      </c>
      <c r="T145" t="s">
        <v>1346</v>
      </c>
      <c r="U145">
        <v>1</v>
      </c>
      <c r="V145">
        <v>116395.72</v>
      </c>
      <c r="W145" t="s">
        <v>728</v>
      </c>
    </row>
    <row r="146" spans="1:23">
      <c r="A146" t="s">
        <v>1347</v>
      </c>
      <c r="B146" t="s">
        <v>1348</v>
      </c>
      <c r="C146" t="s">
        <v>861</v>
      </c>
      <c r="D146">
        <v>7250</v>
      </c>
      <c r="E146" t="s">
        <v>719</v>
      </c>
      <c r="F146" t="s">
        <v>720</v>
      </c>
      <c r="L146">
        <v>16291</v>
      </c>
      <c r="M146" t="s">
        <v>271</v>
      </c>
      <c r="N146" t="s">
        <v>724</v>
      </c>
      <c r="O146">
        <v>0.53363649820755077</v>
      </c>
      <c r="R146" t="s">
        <v>1349</v>
      </c>
      <c r="S146" t="s">
        <v>726</v>
      </c>
      <c r="T146" t="s">
        <v>1350</v>
      </c>
      <c r="U146">
        <v>1</v>
      </c>
      <c r="V146">
        <v>1522500</v>
      </c>
      <c r="W146" t="s">
        <v>728</v>
      </c>
    </row>
    <row r="147" spans="1:23">
      <c r="A147" t="s">
        <v>1351</v>
      </c>
      <c r="B147" t="s">
        <v>272</v>
      </c>
      <c r="C147" t="s">
        <v>966</v>
      </c>
      <c r="D147">
        <v>5500</v>
      </c>
      <c r="E147" t="s">
        <v>719</v>
      </c>
      <c r="F147" t="s">
        <v>720</v>
      </c>
      <c r="L147">
        <v>16217</v>
      </c>
      <c r="M147" t="s">
        <v>125</v>
      </c>
      <c r="N147" t="s">
        <v>733</v>
      </c>
      <c r="O147">
        <v>0.49666034778379992</v>
      </c>
      <c r="R147" t="s">
        <v>1352</v>
      </c>
      <c r="S147" t="s">
        <v>735</v>
      </c>
      <c r="T147" t="s">
        <v>989</v>
      </c>
      <c r="U147">
        <v>1</v>
      </c>
      <c r="V147">
        <v>363000</v>
      </c>
      <c r="W147" t="s">
        <v>728</v>
      </c>
    </row>
    <row r="148" spans="1:23">
      <c r="A148" t="s">
        <v>1353</v>
      </c>
      <c r="B148" t="s">
        <v>264</v>
      </c>
      <c r="C148" t="s">
        <v>298</v>
      </c>
      <c r="D148" t="s">
        <v>1354</v>
      </c>
      <c r="E148" t="s">
        <v>746</v>
      </c>
      <c r="F148" t="s">
        <v>1355</v>
      </c>
      <c r="H148" t="s">
        <v>1356</v>
      </c>
      <c r="L148">
        <v>16212</v>
      </c>
      <c r="M148" t="s">
        <v>112</v>
      </c>
      <c r="N148" t="s">
        <v>733</v>
      </c>
      <c r="O148">
        <v>0.46117856250978129</v>
      </c>
      <c r="R148" t="s">
        <v>1357</v>
      </c>
      <c r="S148" t="s">
        <v>759</v>
      </c>
      <c r="T148" t="s">
        <v>960</v>
      </c>
      <c r="U148">
        <v>1</v>
      </c>
      <c r="V148">
        <v>45260</v>
      </c>
      <c r="W148" t="s">
        <v>728</v>
      </c>
    </row>
    <row r="149" spans="1:23">
      <c r="A149" t="s">
        <v>1358</v>
      </c>
      <c r="B149" t="s">
        <v>275</v>
      </c>
      <c r="C149" t="s">
        <v>738</v>
      </c>
      <c r="D149" t="s">
        <v>1359</v>
      </c>
      <c r="E149" t="s">
        <v>719</v>
      </c>
      <c r="F149" t="s">
        <v>720</v>
      </c>
      <c r="G149" t="s">
        <v>1360</v>
      </c>
      <c r="I149">
        <v>1</v>
      </c>
      <c r="J149" t="s">
        <v>722</v>
      </c>
      <c r="K149" t="s">
        <v>723</v>
      </c>
      <c r="L149">
        <v>5016</v>
      </c>
      <c r="M149" t="s">
        <v>277</v>
      </c>
      <c r="N149" t="s">
        <v>765</v>
      </c>
      <c r="O149">
        <v>0.34911456637439442</v>
      </c>
      <c r="R149" t="s">
        <v>1361</v>
      </c>
      <c r="S149" t="s">
        <v>1362</v>
      </c>
      <c r="T149" t="s">
        <v>1363</v>
      </c>
      <c r="U149">
        <v>1</v>
      </c>
      <c r="V149">
        <v>812250</v>
      </c>
      <c r="W149" t="s">
        <v>728</v>
      </c>
    </row>
    <row r="150" spans="1:23">
      <c r="A150" t="s">
        <v>1364</v>
      </c>
      <c r="B150" t="s">
        <v>113</v>
      </c>
      <c r="C150" t="s">
        <v>738</v>
      </c>
      <c r="D150">
        <v>1900</v>
      </c>
      <c r="E150" t="s">
        <v>231</v>
      </c>
      <c r="F150" t="s">
        <v>1261</v>
      </c>
      <c r="G150" t="s">
        <v>1365</v>
      </c>
      <c r="L150">
        <v>16182</v>
      </c>
      <c r="M150" t="s">
        <v>135</v>
      </c>
      <c r="N150" t="s">
        <v>1011</v>
      </c>
      <c r="O150">
        <v>0.62511262498329156</v>
      </c>
      <c r="R150" t="s">
        <v>1366</v>
      </c>
      <c r="S150" t="s">
        <v>1264</v>
      </c>
      <c r="T150" t="s">
        <v>1014</v>
      </c>
      <c r="U150">
        <v>1</v>
      </c>
      <c r="V150">
        <v>323000</v>
      </c>
      <c r="W150" t="s">
        <v>728</v>
      </c>
    </row>
    <row r="151" spans="1:23">
      <c r="A151" t="s">
        <v>1367</v>
      </c>
      <c r="B151" t="s">
        <v>279</v>
      </c>
      <c r="C151" t="s">
        <v>298</v>
      </c>
      <c r="D151" t="s">
        <v>1368</v>
      </c>
      <c r="E151" t="s">
        <v>719</v>
      </c>
      <c r="F151" t="s">
        <v>720</v>
      </c>
      <c r="G151" t="s">
        <v>1369</v>
      </c>
      <c r="I151">
        <v>1</v>
      </c>
      <c r="J151" t="s">
        <v>722</v>
      </c>
      <c r="K151" t="s">
        <v>723</v>
      </c>
      <c r="L151">
        <v>16212</v>
      </c>
      <c r="M151" t="s">
        <v>112</v>
      </c>
      <c r="N151" t="s">
        <v>733</v>
      </c>
      <c r="O151">
        <v>0.4787988895276194</v>
      </c>
      <c r="R151" t="s">
        <v>1370</v>
      </c>
      <c r="S151" t="s">
        <v>735</v>
      </c>
      <c r="T151" t="s">
        <v>960</v>
      </c>
      <c r="U151">
        <v>1</v>
      </c>
      <c r="V151">
        <v>4065</v>
      </c>
      <c r="W151" t="s">
        <v>728</v>
      </c>
    </row>
    <row r="152" spans="1:23">
      <c r="A152" t="s">
        <v>1371</v>
      </c>
      <c r="B152" t="s">
        <v>280</v>
      </c>
      <c r="C152" t="s">
        <v>298</v>
      </c>
      <c r="D152" t="s">
        <v>1372</v>
      </c>
      <c r="E152" t="s">
        <v>719</v>
      </c>
      <c r="F152" t="s">
        <v>720</v>
      </c>
      <c r="G152" t="s">
        <v>830</v>
      </c>
      <c r="H152" t="s">
        <v>1373</v>
      </c>
      <c r="I152">
        <v>1</v>
      </c>
      <c r="J152" t="s">
        <v>722</v>
      </c>
      <c r="K152" t="s">
        <v>723</v>
      </c>
      <c r="L152">
        <v>16212</v>
      </c>
      <c r="M152" t="s">
        <v>112</v>
      </c>
      <c r="N152" t="s">
        <v>733</v>
      </c>
      <c r="O152">
        <v>0.4878853960577566</v>
      </c>
      <c r="R152" t="s">
        <v>1374</v>
      </c>
      <c r="S152" t="s">
        <v>735</v>
      </c>
      <c r="T152" t="s">
        <v>960</v>
      </c>
      <c r="U152">
        <v>1</v>
      </c>
      <c r="V152">
        <v>34185</v>
      </c>
      <c r="W152" t="s">
        <v>728</v>
      </c>
    </row>
    <row r="153" spans="1:23">
      <c r="A153" t="s">
        <v>1375</v>
      </c>
      <c r="B153" t="s">
        <v>282</v>
      </c>
      <c r="C153" t="s">
        <v>861</v>
      </c>
      <c r="D153">
        <v>75</v>
      </c>
      <c r="E153" t="s">
        <v>231</v>
      </c>
      <c r="F153" t="s">
        <v>1261</v>
      </c>
      <c r="G153" t="s">
        <v>830</v>
      </c>
      <c r="L153">
        <v>2096</v>
      </c>
      <c r="M153" t="s">
        <v>283</v>
      </c>
      <c r="N153" t="s">
        <v>1376</v>
      </c>
      <c r="O153">
        <v>0.44981496198649551</v>
      </c>
      <c r="R153" t="s">
        <v>1377</v>
      </c>
      <c r="S153" t="s">
        <v>1378</v>
      </c>
      <c r="T153" t="s">
        <v>1379</v>
      </c>
      <c r="U153">
        <v>1</v>
      </c>
      <c r="V153">
        <v>11100</v>
      </c>
      <c r="W153" t="s">
        <v>728</v>
      </c>
    </row>
    <row r="154" spans="1:23">
      <c r="A154" t="s">
        <v>1380</v>
      </c>
      <c r="B154" t="s">
        <v>284</v>
      </c>
      <c r="C154" t="s">
        <v>861</v>
      </c>
      <c r="D154" t="s">
        <v>1381</v>
      </c>
      <c r="E154" t="s">
        <v>231</v>
      </c>
      <c r="F154" t="s">
        <v>1382</v>
      </c>
      <c r="G154" t="s">
        <v>958</v>
      </c>
      <c r="H154" t="s">
        <v>1290</v>
      </c>
      <c r="L154">
        <v>17526</v>
      </c>
      <c r="M154" t="s">
        <v>241</v>
      </c>
      <c r="N154" t="s">
        <v>837</v>
      </c>
      <c r="O154">
        <v>0.52691883994726463</v>
      </c>
      <c r="R154" t="s">
        <v>1383</v>
      </c>
      <c r="S154" t="s">
        <v>1281</v>
      </c>
      <c r="T154" t="s">
        <v>1299</v>
      </c>
      <c r="U154">
        <v>1</v>
      </c>
      <c r="V154">
        <v>7291</v>
      </c>
      <c r="W154" t="s">
        <v>728</v>
      </c>
    </row>
    <row r="155" spans="1:23">
      <c r="A155" t="s">
        <v>1384</v>
      </c>
      <c r="B155" t="s">
        <v>286</v>
      </c>
      <c r="C155" t="s">
        <v>861</v>
      </c>
      <c r="D155" t="s">
        <v>1385</v>
      </c>
      <c r="E155" t="s">
        <v>231</v>
      </c>
      <c r="F155" t="s">
        <v>1261</v>
      </c>
      <c r="G155" t="s">
        <v>1386</v>
      </c>
      <c r="H155" t="s">
        <v>1387</v>
      </c>
      <c r="L155">
        <v>17413</v>
      </c>
      <c r="M155" t="s">
        <v>287</v>
      </c>
      <c r="N155" t="s">
        <v>1388</v>
      </c>
      <c r="O155">
        <v>0.53928045961890236</v>
      </c>
      <c r="R155" t="s">
        <v>1389</v>
      </c>
      <c r="S155" t="s">
        <v>1390</v>
      </c>
      <c r="T155" t="s">
        <v>1391</v>
      </c>
      <c r="U155">
        <v>1</v>
      </c>
      <c r="V155">
        <v>1356.885</v>
      </c>
      <c r="W155" t="s">
        <v>728</v>
      </c>
    </row>
    <row r="156" spans="1:23">
      <c r="A156" t="s">
        <v>1392</v>
      </c>
      <c r="B156" t="s">
        <v>288</v>
      </c>
      <c r="C156" t="s">
        <v>1245</v>
      </c>
      <c r="D156" t="s">
        <v>1393</v>
      </c>
      <c r="E156" t="s">
        <v>719</v>
      </c>
      <c r="F156" t="s">
        <v>1304</v>
      </c>
      <c r="G156" t="s">
        <v>1394</v>
      </c>
      <c r="H156" t="s">
        <v>1323</v>
      </c>
      <c r="I156">
        <v>1</v>
      </c>
      <c r="J156" t="s">
        <v>722</v>
      </c>
      <c r="K156" t="s">
        <v>723</v>
      </c>
      <c r="L156">
        <v>1237</v>
      </c>
      <c r="M156" t="s">
        <v>225</v>
      </c>
      <c r="N156" t="s">
        <v>969</v>
      </c>
      <c r="O156">
        <v>0.7637345186393748</v>
      </c>
      <c r="R156" t="s">
        <v>1395</v>
      </c>
      <c r="S156" t="s">
        <v>998</v>
      </c>
      <c r="T156" t="s">
        <v>1308</v>
      </c>
      <c r="U156">
        <v>1</v>
      </c>
      <c r="V156">
        <v>7611.52</v>
      </c>
      <c r="W156" t="s">
        <v>728</v>
      </c>
    </row>
    <row r="157" spans="1:23">
      <c r="A157" t="s">
        <v>1396</v>
      </c>
      <c r="B157" t="s">
        <v>290</v>
      </c>
      <c r="C157" t="s">
        <v>1245</v>
      </c>
      <c r="D157" t="s">
        <v>1397</v>
      </c>
      <c r="E157" t="s">
        <v>719</v>
      </c>
      <c r="F157" t="s">
        <v>1304</v>
      </c>
      <c r="G157" t="s">
        <v>1394</v>
      </c>
      <c r="H157" t="s">
        <v>1398</v>
      </c>
      <c r="I157">
        <v>1</v>
      </c>
      <c r="J157" t="s">
        <v>722</v>
      </c>
      <c r="K157" t="s">
        <v>723</v>
      </c>
      <c r="L157">
        <v>1237</v>
      </c>
      <c r="M157" t="s">
        <v>225</v>
      </c>
      <c r="N157" t="s">
        <v>969</v>
      </c>
      <c r="O157">
        <v>0.77107503047918069</v>
      </c>
      <c r="R157" t="s">
        <v>1399</v>
      </c>
      <c r="S157" t="s">
        <v>998</v>
      </c>
      <c r="T157" t="s">
        <v>1308</v>
      </c>
      <c r="U157">
        <v>1</v>
      </c>
      <c r="V157">
        <v>20827.52</v>
      </c>
      <c r="W157" t="s">
        <v>728</v>
      </c>
    </row>
    <row r="158" spans="1:23">
      <c r="A158" t="s">
        <v>1400</v>
      </c>
      <c r="B158" t="s">
        <v>292</v>
      </c>
      <c r="C158" t="s">
        <v>1245</v>
      </c>
      <c r="D158" t="s">
        <v>1401</v>
      </c>
      <c r="E158" t="s">
        <v>719</v>
      </c>
      <c r="F158" t="s">
        <v>1261</v>
      </c>
      <c r="G158" t="s">
        <v>1402</v>
      </c>
      <c r="H158" t="s">
        <v>1403</v>
      </c>
      <c r="I158">
        <v>1</v>
      </c>
      <c r="J158" t="s">
        <v>722</v>
      </c>
      <c r="K158" t="s">
        <v>723</v>
      </c>
      <c r="L158">
        <v>16786</v>
      </c>
      <c r="M158" t="s">
        <v>294</v>
      </c>
      <c r="N158" t="s">
        <v>837</v>
      </c>
      <c r="O158">
        <v>0.62510897379162444</v>
      </c>
      <c r="R158" t="s">
        <v>1404</v>
      </c>
      <c r="S158" t="s">
        <v>839</v>
      </c>
      <c r="T158" t="s">
        <v>1405</v>
      </c>
      <c r="U158">
        <v>1</v>
      </c>
      <c r="V158">
        <v>9007.6689999999999</v>
      </c>
      <c r="W158" t="s">
        <v>728</v>
      </c>
    </row>
    <row r="159" spans="1:23">
      <c r="A159" t="s">
        <v>1406</v>
      </c>
      <c r="B159" t="s">
        <v>295</v>
      </c>
      <c r="C159" t="s">
        <v>1245</v>
      </c>
      <c r="D159" t="s">
        <v>1407</v>
      </c>
      <c r="E159" t="s">
        <v>719</v>
      </c>
      <c r="F159" t="s">
        <v>1408</v>
      </c>
      <c r="G159" t="s">
        <v>1409</v>
      </c>
      <c r="H159" t="s">
        <v>1323</v>
      </c>
      <c r="I159">
        <v>1</v>
      </c>
      <c r="J159" t="s">
        <v>722</v>
      </c>
      <c r="K159" t="s">
        <v>723</v>
      </c>
      <c r="L159">
        <v>1551</v>
      </c>
      <c r="M159" t="s">
        <v>225</v>
      </c>
      <c r="N159" t="s">
        <v>969</v>
      </c>
      <c r="O159">
        <v>0.76199083970011761</v>
      </c>
      <c r="R159" t="s">
        <v>1410</v>
      </c>
      <c r="S159" t="s">
        <v>998</v>
      </c>
      <c r="T159" t="s">
        <v>1411</v>
      </c>
      <c r="U159">
        <v>1</v>
      </c>
      <c r="V159">
        <v>135656.95999999999</v>
      </c>
      <c r="W159" t="s">
        <v>728</v>
      </c>
    </row>
    <row r="160" spans="1:23">
      <c r="A160" t="s">
        <v>1412</v>
      </c>
      <c r="B160" t="s">
        <v>93</v>
      </c>
      <c r="C160" t="s">
        <v>1245</v>
      </c>
      <c r="D160">
        <v>102.5</v>
      </c>
      <c r="E160" t="s">
        <v>719</v>
      </c>
      <c r="F160" t="s">
        <v>1413</v>
      </c>
      <c r="G160" t="s">
        <v>1414</v>
      </c>
      <c r="H160" t="s">
        <v>1415</v>
      </c>
      <c r="I160">
        <v>1</v>
      </c>
      <c r="J160" t="s">
        <v>722</v>
      </c>
      <c r="K160" t="s">
        <v>723</v>
      </c>
      <c r="L160">
        <v>17524</v>
      </c>
      <c r="M160" t="s">
        <v>241</v>
      </c>
      <c r="N160" t="s">
        <v>837</v>
      </c>
      <c r="O160">
        <v>0.61010788991466514</v>
      </c>
      <c r="R160" t="s">
        <v>1416</v>
      </c>
      <c r="S160" t="s">
        <v>839</v>
      </c>
      <c r="T160" t="s">
        <v>1292</v>
      </c>
      <c r="U160">
        <v>1</v>
      </c>
      <c r="V160">
        <v>39770</v>
      </c>
      <c r="W160" t="s">
        <v>728</v>
      </c>
    </row>
    <row r="161" spans="1:23">
      <c r="A161" t="s">
        <v>1417</v>
      </c>
      <c r="B161" t="s">
        <v>298</v>
      </c>
      <c r="C161" t="s">
        <v>298</v>
      </c>
      <c r="D161" t="s">
        <v>1418</v>
      </c>
      <c r="E161" t="s">
        <v>719</v>
      </c>
      <c r="F161" t="s">
        <v>1419</v>
      </c>
      <c r="G161" t="s">
        <v>1242</v>
      </c>
      <c r="H161" t="s">
        <v>298</v>
      </c>
      <c r="I161">
        <v>1</v>
      </c>
      <c r="J161" t="s">
        <v>722</v>
      </c>
      <c r="K161" t="s">
        <v>723</v>
      </c>
      <c r="L161">
        <v>16212</v>
      </c>
      <c r="M161" t="s">
        <v>112</v>
      </c>
      <c r="N161" t="s">
        <v>733</v>
      </c>
      <c r="O161">
        <v>0.46581507218937618</v>
      </c>
      <c r="R161" t="s">
        <v>1420</v>
      </c>
      <c r="S161" t="s">
        <v>735</v>
      </c>
      <c r="T161" t="s">
        <v>960</v>
      </c>
      <c r="U161">
        <v>1</v>
      </c>
      <c r="V161">
        <v>171250</v>
      </c>
      <c r="W161" t="s">
        <v>728</v>
      </c>
    </row>
    <row r="162" spans="1:23">
      <c r="A162" t="s">
        <v>1421</v>
      </c>
      <c r="B162" t="s">
        <v>1422</v>
      </c>
      <c r="C162" t="s">
        <v>1177</v>
      </c>
      <c r="D162">
        <v>80.510000000000005</v>
      </c>
      <c r="E162" t="s">
        <v>719</v>
      </c>
      <c r="F162" t="s">
        <v>1419</v>
      </c>
      <c r="G162" t="s">
        <v>1242</v>
      </c>
      <c r="I162">
        <v>1</v>
      </c>
      <c r="J162" t="s">
        <v>722</v>
      </c>
      <c r="K162" t="s">
        <v>723</v>
      </c>
      <c r="L162">
        <v>16211</v>
      </c>
      <c r="M162" t="s">
        <v>154</v>
      </c>
      <c r="N162" t="s">
        <v>724</v>
      </c>
      <c r="O162">
        <v>0.34336359132288918</v>
      </c>
      <c r="R162" t="s">
        <v>1423</v>
      </c>
      <c r="S162" t="s">
        <v>726</v>
      </c>
      <c r="T162" t="s">
        <v>1061</v>
      </c>
      <c r="U162">
        <v>1</v>
      </c>
      <c r="V162">
        <v>22220.76</v>
      </c>
      <c r="W162" t="s">
        <v>728</v>
      </c>
    </row>
    <row r="163" spans="1:23">
      <c r="A163" t="s">
        <v>1424</v>
      </c>
      <c r="B163" t="s">
        <v>301</v>
      </c>
      <c r="C163" t="s">
        <v>861</v>
      </c>
      <c r="D163" t="s">
        <v>1425</v>
      </c>
      <c r="E163" t="s">
        <v>719</v>
      </c>
      <c r="F163" t="s">
        <v>1426</v>
      </c>
      <c r="G163" t="s">
        <v>1427</v>
      </c>
      <c r="I163">
        <v>1</v>
      </c>
      <c r="J163" t="s">
        <v>722</v>
      </c>
      <c r="K163" t="s">
        <v>723</v>
      </c>
      <c r="L163">
        <v>8893</v>
      </c>
      <c r="M163" t="s">
        <v>303</v>
      </c>
      <c r="N163" t="s">
        <v>1428</v>
      </c>
      <c r="O163">
        <v>0.55382933429413583</v>
      </c>
      <c r="R163" t="s">
        <v>1429</v>
      </c>
      <c r="S163" t="s">
        <v>1430</v>
      </c>
      <c r="T163" t="s">
        <v>1431</v>
      </c>
      <c r="U163">
        <v>1</v>
      </c>
      <c r="V163">
        <v>622.43999999999994</v>
      </c>
      <c r="W163" t="s">
        <v>728</v>
      </c>
    </row>
    <row r="164" spans="1:23">
      <c r="A164" t="s">
        <v>1432</v>
      </c>
      <c r="B164" t="s">
        <v>304</v>
      </c>
      <c r="C164" t="s">
        <v>861</v>
      </c>
      <c r="D164">
        <v>5.0999999999999996</v>
      </c>
      <c r="E164" t="s">
        <v>719</v>
      </c>
      <c r="L164">
        <v>16160</v>
      </c>
      <c r="M164" t="s">
        <v>135</v>
      </c>
      <c r="N164" t="s">
        <v>1011</v>
      </c>
      <c r="O164">
        <v>0.54830833845987059</v>
      </c>
      <c r="R164" t="s">
        <v>1433</v>
      </c>
      <c r="S164" t="s">
        <v>1013</v>
      </c>
      <c r="T164" t="s">
        <v>1014</v>
      </c>
      <c r="U164">
        <v>1E-3</v>
      </c>
      <c r="V164">
        <v>0.86699999999999988</v>
      </c>
      <c r="W164" t="s">
        <v>728</v>
      </c>
    </row>
    <row r="165" spans="1:23">
      <c r="A165" t="s">
        <v>1434</v>
      </c>
      <c r="B165" t="s">
        <v>305</v>
      </c>
      <c r="C165" t="s">
        <v>861</v>
      </c>
      <c r="D165" t="s">
        <v>1435</v>
      </c>
      <c r="E165" t="s">
        <v>719</v>
      </c>
      <c r="F165" t="s">
        <v>1426</v>
      </c>
      <c r="G165" t="s">
        <v>1117</v>
      </c>
      <c r="I165">
        <v>1</v>
      </c>
      <c r="J165" t="s">
        <v>722</v>
      </c>
      <c r="K165" t="s">
        <v>723</v>
      </c>
      <c r="L165">
        <v>4150</v>
      </c>
      <c r="M165" t="s">
        <v>306</v>
      </c>
      <c r="N165" t="s">
        <v>748</v>
      </c>
      <c r="O165">
        <v>0.49331359382653012</v>
      </c>
      <c r="R165" t="s">
        <v>1436</v>
      </c>
      <c r="S165" t="s">
        <v>1180</v>
      </c>
      <c r="T165" t="s">
        <v>1437</v>
      </c>
      <c r="U165">
        <v>1</v>
      </c>
      <c r="V165">
        <v>525.36</v>
      </c>
      <c r="W165" t="s">
        <v>728</v>
      </c>
    </row>
    <row r="166" spans="1:23">
      <c r="A166" t="s">
        <v>1438</v>
      </c>
      <c r="B166" t="s">
        <v>307</v>
      </c>
      <c r="C166" t="s">
        <v>833</v>
      </c>
      <c r="D166">
        <v>11.05</v>
      </c>
      <c r="E166" t="s">
        <v>719</v>
      </c>
      <c r="F166" t="s">
        <v>1426</v>
      </c>
      <c r="G166" t="s">
        <v>1427</v>
      </c>
      <c r="H166" t="s">
        <v>1439</v>
      </c>
      <c r="I166">
        <v>1</v>
      </c>
      <c r="J166" t="s">
        <v>722</v>
      </c>
      <c r="K166" t="s">
        <v>723</v>
      </c>
      <c r="L166">
        <v>537</v>
      </c>
      <c r="M166" t="s">
        <v>90</v>
      </c>
      <c r="N166" t="s">
        <v>837</v>
      </c>
      <c r="O166">
        <v>0.70766779511655775</v>
      </c>
      <c r="R166" t="s">
        <v>1440</v>
      </c>
      <c r="S166" t="s">
        <v>839</v>
      </c>
      <c r="T166" t="s">
        <v>1287</v>
      </c>
      <c r="U166">
        <v>1</v>
      </c>
      <c r="V166">
        <v>2232.1</v>
      </c>
      <c r="W166" t="s">
        <v>728</v>
      </c>
    </row>
    <row r="167" spans="1:23">
      <c r="A167" t="s">
        <v>1441</v>
      </c>
      <c r="B167" t="s">
        <v>309</v>
      </c>
      <c r="C167" t="s">
        <v>861</v>
      </c>
      <c r="D167">
        <v>10.039999999999999</v>
      </c>
      <c r="L167">
        <v>4152</v>
      </c>
      <c r="M167" t="s">
        <v>310</v>
      </c>
      <c r="N167" t="s">
        <v>724</v>
      </c>
      <c r="O167">
        <v>0.54786845440433063</v>
      </c>
      <c r="R167" t="s">
        <v>1442</v>
      </c>
      <c r="T167" t="s">
        <v>1443</v>
      </c>
      <c r="U167">
        <v>1</v>
      </c>
      <c r="V167">
        <v>1234.92</v>
      </c>
      <c r="W167" t="s">
        <v>728</v>
      </c>
    </row>
    <row r="168" spans="1:23">
      <c r="A168" t="s">
        <v>1444</v>
      </c>
      <c r="B168" t="s">
        <v>311</v>
      </c>
      <c r="C168" t="s">
        <v>298</v>
      </c>
      <c r="D168" t="s">
        <v>1445</v>
      </c>
      <c r="E168" t="s">
        <v>719</v>
      </c>
      <c r="F168" t="s">
        <v>1426</v>
      </c>
      <c r="G168" t="s">
        <v>1446</v>
      </c>
      <c r="I168">
        <v>1</v>
      </c>
      <c r="J168" t="s">
        <v>722</v>
      </c>
      <c r="K168" t="s">
        <v>723</v>
      </c>
      <c r="L168">
        <v>16212</v>
      </c>
      <c r="M168" t="s">
        <v>112</v>
      </c>
      <c r="N168" t="s">
        <v>733</v>
      </c>
      <c r="O168">
        <v>0.47635898032063678</v>
      </c>
      <c r="R168" t="s">
        <v>1447</v>
      </c>
      <c r="S168" t="s">
        <v>735</v>
      </c>
      <c r="T168" t="s">
        <v>960</v>
      </c>
      <c r="U168">
        <v>1</v>
      </c>
      <c r="V168">
        <v>2182.5</v>
      </c>
      <c r="W168" t="s">
        <v>728</v>
      </c>
    </row>
    <row r="169" spans="1:23">
      <c r="A169" t="s">
        <v>1448</v>
      </c>
      <c r="B169" t="s">
        <v>313</v>
      </c>
      <c r="C169" t="s">
        <v>298</v>
      </c>
      <c r="D169">
        <v>3</v>
      </c>
      <c r="E169" t="s">
        <v>719</v>
      </c>
      <c r="L169">
        <v>16212</v>
      </c>
      <c r="M169" t="s">
        <v>112</v>
      </c>
      <c r="N169" t="s">
        <v>733</v>
      </c>
      <c r="O169">
        <v>0.48333695375463942</v>
      </c>
      <c r="R169" t="s">
        <v>1449</v>
      </c>
      <c r="S169" t="s">
        <v>735</v>
      </c>
      <c r="T169" t="s">
        <v>960</v>
      </c>
      <c r="U169">
        <v>1</v>
      </c>
      <c r="V169">
        <v>750</v>
      </c>
      <c r="W169" t="s">
        <v>728</v>
      </c>
    </row>
    <row r="170" spans="1:23">
      <c r="A170" t="s">
        <v>1450</v>
      </c>
      <c r="B170" t="s">
        <v>292</v>
      </c>
      <c r="C170" t="s">
        <v>1245</v>
      </c>
      <c r="D170" t="s">
        <v>1451</v>
      </c>
      <c r="E170" t="s">
        <v>719</v>
      </c>
      <c r="F170" t="s">
        <v>1426</v>
      </c>
      <c r="G170" t="s">
        <v>1452</v>
      </c>
      <c r="H170" t="s">
        <v>1403</v>
      </c>
      <c r="I170">
        <v>1</v>
      </c>
      <c r="J170" t="s">
        <v>722</v>
      </c>
      <c r="K170" t="s">
        <v>723</v>
      </c>
      <c r="L170">
        <v>139</v>
      </c>
      <c r="M170" t="s">
        <v>316</v>
      </c>
      <c r="N170" t="s">
        <v>733</v>
      </c>
      <c r="O170">
        <v>0.35874040831015991</v>
      </c>
      <c r="R170" t="s">
        <v>1453</v>
      </c>
      <c r="S170" t="s">
        <v>735</v>
      </c>
      <c r="T170" t="s">
        <v>1454</v>
      </c>
      <c r="U170">
        <v>1</v>
      </c>
      <c r="V170">
        <v>3974.8719999999998</v>
      </c>
      <c r="W170" t="s">
        <v>728</v>
      </c>
    </row>
    <row r="171" spans="1:23">
      <c r="A171" t="s">
        <v>1455</v>
      </c>
      <c r="B171" t="s">
        <v>317</v>
      </c>
      <c r="C171" t="s">
        <v>861</v>
      </c>
      <c r="D171" t="s">
        <v>1456</v>
      </c>
      <c r="E171" t="s">
        <v>719</v>
      </c>
      <c r="F171" t="s">
        <v>1426</v>
      </c>
      <c r="G171" t="s">
        <v>1427</v>
      </c>
      <c r="I171">
        <v>1</v>
      </c>
      <c r="J171" t="s">
        <v>722</v>
      </c>
      <c r="K171" t="s">
        <v>723</v>
      </c>
      <c r="L171">
        <v>11202</v>
      </c>
      <c r="M171" t="s">
        <v>318</v>
      </c>
      <c r="N171" t="s">
        <v>1011</v>
      </c>
      <c r="O171">
        <v>0.52252286625558608</v>
      </c>
      <c r="R171" t="s">
        <v>1457</v>
      </c>
      <c r="S171" t="s">
        <v>1013</v>
      </c>
      <c r="T171" t="s">
        <v>1458</v>
      </c>
      <c r="U171">
        <v>1E-3</v>
      </c>
      <c r="V171">
        <v>3.1636500000000001</v>
      </c>
      <c r="W171" t="s">
        <v>728</v>
      </c>
    </row>
    <row r="172" spans="1:23">
      <c r="A172" t="s">
        <v>1459</v>
      </c>
      <c r="B172" t="s">
        <v>319</v>
      </c>
      <c r="C172" t="s">
        <v>861</v>
      </c>
      <c r="D172" t="s">
        <v>1460</v>
      </c>
      <c r="E172" t="s">
        <v>746</v>
      </c>
      <c r="F172" t="s">
        <v>1426</v>
      </c>
      <c r="G172" t="s">
        <v>1461</v>
      </c>
      <c r="L172">
        <v>13870</v>
      </c>
      <c r="M172" t="s">
        <v>100</v>
      </c>
      <c r="N172" t="s">
        <v>864</v>
      </c>
      <c r="O172">
        <v>0.41605998370221009</v>
      </c>
      <c r="R172" t="s">
        <v>1462</v>
      </c>
      <c r="S172" t="s">
        <v>1463</v>
      </c>
      <c r="T172" t="s">
        <v>1464</v>
      </c>
      <c r="U172">
        <v>1</v>
      </c>
      <c r="V172">
        <v>366625</v>
      </c>
      <c r="W172" t="s">
        <v>728</v>
      </c>
    </row>
    <row r="173" spans="1:23">
      <c r="A173" t="s">
        <v>1465</v>
      </c>
      <c r="B173" t="s">
        <v>321</v>
      </c>
      <c r="C173" t="s">
        <v>861</v>
      </c>
      <c r="D173" t="s">
        <v>1466</v>
      </c>
      <c r="E173" t="s">
        <v>719</v>
      </c>
      <c r="F173" t="s">
        <v>1426</v>
      </c>
      <c r="G173" t="s">
        <v>1427</v>
      </c>
      <c r="I173">
        <v>1</v>
      </c>
      <c r="J173" t="s">
        <v>722</v>
      </c>
      <c r="K173" t="s">
        <v>723</v>
      </c>
      <c r="L173">
        <v>11202</v>
      </c>
      <c r="M173" t="s">
        <v>318</v>
      </c>
      <c r="N173" t="s">
        <v>1011</v>
      </c>
      <c r="O173">
        <v>0.50114118273314123</v>
      </c>
      <c r="R173" t="s">
        <v>1467</v>
      </c>
      <c r="S173" t="s">
        <v>1013</v>
      </c>
      <c r="T173" t="s">
        <v>1458</v>
      </c>
      <c r="U173">
        <v>1E-3</v>
      </c>
      <c r="V173">
        <v>8.5556100000000015</v>
      </c>
      <c r="W173" t="s">
        <v>728</v>
      </c>
    </row>
    <row r="174" spans="1:23">
      <c r="A174" t="s">
        <v>1468</v>
      </c>
      <c r="B174" t="s">
        <v>311</v>
      </c>
      <c r="C174" t="s">
        <v>298</v>
      </c>
      <c r="D174" t="s">
        <v>1469</v>
      </c>
      <c r="E174" t="s">
        <v>719</v>
      </c>
      <c r="F174" t="s">
        <v>1426</v>
      </c>
      <c r="G174" t="s">
        <v>902</v>
      </c>
      <c r="I174">
        <v>1</v>
      </c>
      <c r="J174" t="s">
        <v>722</v>
      </c>
      <c r="K174" t="s">
        <v>723</v>
      </c>
      <c r="L174">
        <v>16212</v>
      </c>
      <c r="M174" t="s">
        <v>112</v>
      </c>
      <c r="N174" t="s">
        <v>733</v>
      </c>
      <c r="O174">
        <v>0.48067790882196759</v>
      </c>
      <c r="R174" t="s">
        <v>1470</v>
      </c>
      <c r="S174" t="s">
        <v>735</v>
      </c>
      <c r="T174" t="s">
        <v>960</v>
      </c>
      <c r="U174">
        <v>1</v>
      </c>
      <c r="V174">
        <v>567.5</v>
      </c>
      <c r="W174" t="s">
        <v>728</v>
      </c>
    </row>
    <row r="175" spans="1:23">
      <c r="A175" t="s">
        <v>1471</v>
      </c>
      <c r="B175" t="s">
        <v>322</v>
      </c>
      <c r="C175" t="s">
        <v>861</v>
      </c>
      <c r="D175" t="s">
        <v>1472</v>
      </c>
      <c r="E175" t="s">
        <v>719</v>
      </c>
      <c r="F175" t="s">
        <v>1426</v>
      </c>
      <c r="G175" t="s">
        <v>902</v>
      </c>
      <c r="I175">
        <v>1</v>
      </c>
      <c r="J175" t="s">
        <v>722</v>
      </c>
      <c r="K175" t="s">
        <v>723</v>
      </c>
      <c r="L175">
        <v>13540</v>
      </c>
      <c r="M175" t="s">
        <v>109</v>
      </c>
      <c r="N175" t="s">
        <v>323</v>
      </c>
      <c r="O175">
        <v>0.47762264660353387</v>
      </c>
      <c r="R175" t="s">
        <v>1473</v>
      </c>
      <c r="S175" t="s">
        <v>1474</v>
      </c>
      <c r="T175" t="s">
        <v>1475</v>
      </c>
      <c r="U175">
        <v>1</v>
      </c>
      <c r="V175">
        <v>70.8</v>
      </c>
      <c r="W175" t="s">
        <v>728</v>
      </c>
    </row>
    <row r="176" spans="1:23">
      <c r="A176" t="s">
        <v>1476</v>
      </c>
      <c r="B176" t="s">
        <v>324</v>
      </c>
      <c r="C176" t="s">
        <v>861</v>
      </c>
      <c r="D176" t="s">
        <v>1477</v>
      </c>
      <c r="E176" t="s">
        <v>746</v>
      </c>
      <c r="F176" t="s">
        <v>720</v>
      </c>
      <c r="G176" t="s">
        <v>1478</v>
      </c>
      <c r="L176">
        <v>4760</v>
      </c>
      <c r="M176" t="s">
        <v>326</v>
      </c>
      <c r="N176" t="s">
        <v>1479</v>
      </c>
      <c r="O176">
        <v>0.52916712471776128</v>
      </c>
      <c r="R176" t="s">
        <v>1480</v>
      </c>
      <c r="S176" t="s">
        <v>1481</v>
      </c>
      <c r="T176" t="s">
        <v>1482</v>
      </c>
      <c r="U176">
        <v>1</v>
      </c>
      <c r="V176">
        <v>62535</v>
      </c>
      <c r="W176" t="s">
        <v>728</v>
      </c>
    </row>
    <row r="177" spans="1:23">
      <c r="A177" t="s">
        <v>1483</v>
      </c>
      <c r="B177" t="s">
        <v>327</v>
      </c>
      <c r="C177" t="s">
        <v>833</v>
      </c>
      <c r="D177" t="s">
        <v>834</v>
      </c>
      <c r="E177" t="s">
        <v>719</v>
      </c>
      <c r="F177" t="s">
        <v>720</v>
      </c>
      <c r="G177" t="s">
        <v>835</v>
      </c>
      <c r="H177" t="s">
        <v>1484</v>
      </c>
      <c r="I177">
        <v>1</v>
      </c>
      <c r="J177" t="s">
        <v>722</v>
      </c>
      <c r="K177" t="s">
        <v>723</v>
      </c>
      <c r="L177">
        <v>537</v>
      </c>
      <c r="M177" t="s">
        <v>90</v>
      </c>
      <c r="N177" t="s">
        <v>837</v>
      </c>
      <c r="O177">
        <v>0.73492642963041122</v>
      </c>
      <c r="R177" t="s">
        <v>1485</v>
      </c>
      <c r="S177" t="s">
        <v>839</v>
      </c>
      <c r="T177" t="s">
        <v>1287</v>
      </c>
      <c r="U177">
        <v>1</v>
      </c>
      <c r="V177">
        <v>165.64</v>
      </c>
      <c r="W177" t="s">
        <v>728</v>
      </c>
    </row>
    <row r="178" spans="1:23">
      <c r="A178" t="s">
        <v>1486</v>
      </c>
      <c r="B178" t="s">
        <v>97</v>
      </c>
      <c r="C178" t="s">
        <v>833</v>
      </c>
      <c r="D178" t="s">
        <v>842</v>
      </c>
      <c r="E178" t="s">
        <v>719</v>
      </c>
      <c r="F178" t="s">
        <v>843</v>
      </c>
      <c r="G178" t="s">
        <v>1487</v>
      </c>
      <c r="H178" t="s">
        <v>1488</v>
      </c>
      <c r="I178">
        <v>1</v>
      </c>
      <c r="J178" t="s">
        <v>722</v>
      </c>
      <c r="K178" t="s">
        <v>723</v>
      </c>
      <c r="L178">
        <v>492</v>
      </c>
      <c r="M178" t="s">
        <v>94</v>
      </c>
      <c r="N178" t="s">
        <v>837</v>
      </c>
      <c r="O178">
        <v>0.76101485317827722</v>
      </c>
      <c r="R178" t="s">
        <v>1489</v>
      </c>
      <c r="S178" t="s">
        <v>839</v>
      </c>
      <c r="T178" t="s">
        <v>849</v>
      </c>
      <c r="U178">
        <v>1</v>
      </c>
      <c r="V178">
        <v>2777.21</v>
      </c>
      <c r="W178" t="s">
        <v>728</v>
      </c>
    </row>
    <row r="179" spans="1:23">
      <c r="A179" t="s">
        <v>1490</v>
      </c>
      <c r="B179" t="s">
        <v>97</v>
      </c>
      <c r="C179" t="s">
        <v>833</v>
      </c>
      <c r="D179" t="s">
        <v>851</v>
      </c>
      <c r="E179" t="s">
        <v>719</v>
      </c>
      <c r="F179" t="s">
        <v>843</v>
      </c>
      <c r="G179" t="s">
        <v>852</v>
      </c>
      <c r="H179" t="s">
        <v>845</v>
      </c>
      <c r="I179">
        <v>1</v>
      </c>
      <c r="J179" t="s">
        <v>722</v>
      </c>
      <c r="K179" t="s">
        <v>723</v>
      </c>
      <c r="L179">
        <v>492</v>
      </c>
      <c r="M179" t="s">
        <v>94</v>
      </c>
      <c r="N179" t="s">
        <v>837</v>
      </c>
      <c r="O179">
        <v>0.76168243764441268</v>
      </c>
      <c r="R179" t="s">
        <v>1491</v>
      </c>
      <c r="S179" t="s">
        <v>839</v>
      </c>
      <c r="T179" t="s">
        <v>849</v>
      </c>
      <c r="U179">
        <v>1</v>
      </c>
      <c r="V179">
        <v>1750.16</v>
      </c>
      <c r="W179" t="s">
        <v>728</v>
      </c>
    </row>
    <row r="180" spans="1:23">
      <c r="A180" t="s">
        <v>1492</v>
      </c>
      <c r="B180" t="s">
        <v>97</v>
      </c>
      <c r="C180" t="s">
        <v>833</v>
      </c>
      <c r="D180">
        <v>9.48</v>
      </c>
      <c r="E180" t="s">
        <v>719</v>
      </c>
      <c r="F180" t="s">
        <v>1493</v>
      </c>
      <c r="G180" t="s">
        <v>852</v>
      </c>
      <c r="H180" t="s">
        <v>1494</v>
      </c>
      <c r="I180">
        <v>1</v>
      </c>
      <c r="J180" t="s">
        <v>722</v>
      </c>
      <c r="K180" t="s">
        <v>723</v>
      </c>
      <c r="L180">
        <v>531</v>
      </c>
      <c r="M180" t="s">
        <v>90</v>
      </c>
      <c r="N180" t="s">
        <v>837</v>
      </c>
      <c r="O180">
        <v>0.74814504298594442</v>
      </c>
      <c r="R180" t="s">
        <v>1495</v>
      </c>
      <c r="S180" t="s">
        <v>839</v>
      </c>
      <c r="T180" t="s">
        <v>840</v>
      </c>
      <c r="U180">
        <v>1</v>
      </c>
      <c r="V180">
        <v>1393.56</v>
      </c>
      <c r="W180" t="s">
        <v>728</v>
      </c>
    </row>
    <row r="181" spans="1:23">
      <c r="A181" t="s">
        <v>1496</v>
      </c>
      <c r="B181" t="s">
        <v>330</v>
      </c>
      <c r="C181" t="s">
        <v>861</v>
      </c>
      <c r="D181" t="s">
        <v>862</v>
      </c>
      <c r="E181" t="s">
        <v>719</v>
      </c>
      <c r="F181" t="s">
        <v>863</v>
      </c>
      <c r="L181">
        <v>8179</v>
      </c>
      <c r="M181" t="s">
        <v>331</v>
      </c>
      <c r="N181" t="s">
        <v>1497</v>
      </c>
      <c r="O181">
        <v>0.51556211278885333</v>
      </c>
      <c r="R181" t="s">
        <v>1498</v>
      </c>
      <c r="S181" t="s">
        <v>1499</v>
      </c>
      <c r="T181" t="s">
        <v>1500</v>
      </c>
      <c r="U181">
        <v>1</v>
      </c>
      <c r="V181">
        <v>3425.5</v>
      </c>
      <c r="W181" t="s">
        <v>728</v>
      </c>
    </row>
    <row r="182" spans="1:23">
      <c r="A182" t="s">
        <v>1501</v>
      </c>
      <c r="B182" t="s">
        <v>298</v>
      </c>
      <c r="C182" t="s">
        <v>298</v>
      </c>
      <c r="D182">
        <v>129</v>
      </c>
      <c r="E182" t="s">
        <v>719</v>
      </c>
      <c r="F182" t="s">
        <v>1426</v>
      </c>
      <c r="G182" t="s">
        <v>1502</v>
      </c>
      <c r="I182">
        <v>1</v>
      </c>
      <c r="J182" t="s">
        <v>722</v>
      </c>
      <c r="K182" t="s">
        <v>723</v>
      </c>
      <c r="L182">
        <v>16211</v>
      </c>
      <c r="M182" t="s">
        <v>154</v>
      </c>
      <c r="N182" t="s">
        <v>724</v>
      </c>
      <c r="O182">
        <v>0.46461942354991792</v>
      </c>
      <c r="R182" t="s">
        <v>1503</v>
      </c>
      <c r="S182" t="s">
        <v>726</v>
      </c>
      <c r="T182" t="s">
        <v>1061</v>
      </c>
      <c r="U182">
        <v>1</v>
      </c>
      <c r="V182">
        <v>35604</v>
      </c>
      <c r="W182" t="s">
        <v>728</v>
      </c>
    </row>
    <row r="183" spans="1:23">
      <c r="A183" t="s">
        <v>1504</v>
      </c>
      <c r="B183" t="s">
        <v>333</v>
      </c>
      <c r="C183" t="s">
        <v>298</v>
      </c>
      <c r="D183">
        <v>150.85</v>
      </c>
      <c r="E183" t="s">
        <v>719</v>
      </c>
      <c r="F183" t="s">
        <v>720</v>
      </c>
      <c r="G183" t="s">
        <v>1505</v>
      </c>
      <c r="I183">
        <v>1</v>
      </c>
      <c r="J183" t="s">
        <v>722</v>
      </c>
      <c r="K183" t="s">
        <v>723</v>
      </c>
      <c r="L183">
        <v>16212</v>
      </c>
      <c r="M183" t="s">
        <v>112</v>
      </c>
      <c r="N183" t="s">
        <v>733</v>
      </c>
      <c r="O183">
        <v>0.48658958644007588</v>
      </c>
      <c r="R183" t="s">
        <v>1506</v>
      </c>
      <c r="S183" t="s">
        <v>735</v>
      </c>
      <c r="T183" t="s">
        <v>960</v>
      </c>
      <c r="U183">
        <v>1</v>
      </c>
      <c r="V183">
        <v>37712.5</v>
      </c>
      <c r="W183" t="s">
        <v>728</v>
      </c>
    </row>
    <row r="184" spans="1:23">
      <c r="A184" t="s">
        <v>1507</v>
      </c>
      <c r="B184" t="s">
        <v>248</v>
      </c>
      <c r="C184" t="s">
        <v>1245</v>
      </c>
      <c r="D184" t="s">
        <v>1508</v>
      </c>
      <c r="E184" t="s">
        <v>719</v>
      </c>
      <c r="F184" t="s">
        <v>720</v>
      </c>
      <c r="G184" t="s">
        <v>1509</v>
      </c>
      <c r="H184" t="s">
        <v>1415</v>
      </c>
      <c r="I184">
        <v>1</v>
      </c>
      <c r="J184" t="s">
        <v>722</v>
      </c>
      <c r="K184" t="s">
        <v>723</v>
      </c>
      <c r="L184">
        <v>17091</v>
      </c>
      <c r="M184" t="s">
        <v>107</v>
      </c>
      <c r="N184" t="s">
        <v>919</v>
      </c>
      <c r="O184">
        <v>0.64656173106179282</v>
      </c>
      <c r="R184" t="s">
        <v>1510</v>
      </c>
      <c r="S184" t="s">
        <v>921</v>
      </c>
      <c r="T184" t="s">
        <v>922</v>
      </c>
      <c r="U184">
        <v>1</v>
      </c>
      <c r="V184">
        <v>10834.11</v>
      </c>
      <c r="W184" t="s">
        <v>728</v>
      </c>
    </row>
    <row r="185" spans="1:23">
      <c r="A185" t="s">
        <v>1511</v>
      </c>
      <c r="B185" t="s">
        <v>336</v>
      </c>
      <c r="C185" t="s">
        <v>298</v>
      </c>
      <c r="D185" t="s">
        <v>1368</v>
      </c>
      <c r="E185" t="s">
        <v>719</v>
      </c>
      <c r="F185" t="s">
        <v>720</v>
      </c>
      <c r="G185" t="s">
        <v>1369</v>
      </c>
      <c r="I185">
        <v>1</v>
      </c>
      <c r="J185" t="s">
        <v>722</v>
      </c>
      <c r="K185" t="s">
        <v>723</v>
      </c>
      <c r="L185">
        <v>16208</v>
      </c>
      <c r="M185" t="s">
        <v>337</v>
      </c>
      <c r="N185" t="s">
        <v>795</v>
      </c>
      <c r="O185">
        <v>0.46040196309510589</v>
      </c>
      <c r="R185" t="s">
        <v>1512</v>
      </c>
      <c r="S185" t="s">
        <v>797</v>
      </c>
      <c r="T185" t="s">
        <v>1513</v>
      </c>
      <c r="U185">
        <v>1</v>
      </c>
      <c r="V185">
        <v>4357.68</v>
      </c>
      <c r="W185" t="s">
        <v>728</v>
      </c>
    </row>
    <row r="186" spans="1:23">
      <c r="A186" t="s">
        <v>1514</v>
      </c>
      <c r="B186" t="s">
        <v>338</v>
      </c>
      <c r="C186" t="s">
        <v>1245</v>
      </c>
      <c r="D186" t="s">
        <v>1196</v>
      </c>
      <c r="E186" t="s">
        <v>719</v>
      </c>
      <c r="F186" t="s">
        <v>1304</v>
      </c>
      <c r="G186" t="s">
        <v>1305</v>
      </c>
      <c r="H186" t="s">
        <v>1515</v>
      </c>
      <c r="I186">
        <v>1</v>
      </c>
      <c r="J186" t="s">
        <v>722</v>
      </c>
      <c r="K186" t="s">
        <v>723</v>
      </c>
      <c r="L186">
        <v>818</v>
      </c>
      <c r="M186" t="s">
        <v>339</v>
      </c>
      <c r="N186" t="s">
        <v>837</v>
      </c>
      <c r="O186">
        <v>0.78012224227682103</v>
      </c>
      <c r="R186" t="s">
        <v>1516</v>
      </c>
      <c r="S186" t="s">
        <v>839</v>
      </c>
      <c r="T186" t="s">
        <v>1517</v>
      </c>
      <c r="U186">
        <v>1</v>
      </c>
      <c r="V186">
        <v>236</v>
      </c>
      <c r="W186" t="s">
        <v>728</v>
      </c>
    </row>
    <row r="187" spans="1:23">
      <c r="A187" t="s">
        <v>1518</v>
      </c>
      <c r="B187" t="s">
        <v>298</v>
      </c>
      <c r="C187" t="s">
        <v>298</v>
      </c>
      <c r="D187" t="s">
        <v>1519</v>
      </c>
      <c r="E187" t="s">
        <v>1520</v>
      </c>
      <c r="F187" t="s">
        <v>1100</v>
      </c>
      <c r="G187" t="s">
        <v>1521</v>
      </c>
      <c r="H187" t="s">
        <v>1522</v>
      </c>
      <c r="L187">
        <v>16208</v>
      </c>
      <c r="M187" t="s">
        <v>337</v>
      </c>
      <c r="N187" t="s">
        <v>795</v>
      </c>
      <c r="O187">
        <v>0.43763473436548478</v>
      </c>
      <c r="R187" t="s">
        <v>1523</v>
      </c>
      <c r="S187" t="s">
        <v>1524</v>
      </c>
      <c r="T187" t="s">
        <v>1513</v>
      </c>
      <c r="U187">
        <v>1</v>
      </c>
      <c r="V187">
        <v>69818.288</v>
      </c>
      <c r="W187" t="s">
        <v>728</v>
      </c>
    </row>
    <row r="188" spans="1:23">
      <c r="A188" t="s">
        <v>1525</v>
      </c>
      <c r="B188" t="s">
        <v>97</v>
      </c>
      <c r="C188" t="s">
        <v>833</v>
      </c>
      <c r="D188" t="s">
        <v>1526</v>
      </c>
      <c r="E188" t="s">
        <v>719</v>
      </c>
      <c r="F188" t="s">
        <v>720</v>
      </c>
      <c r="G188" t="s">
        <v>1527</v>
      </c>
      <c r="H188" t="s">
        <v>845</v>
      </c>
      <c r="I188">
        <v>1</v>
      </c>
      <c r="J188" t="s">
        <v>722</v>
      </c>
      <c r="K188" t="s">
        <v>723</v>
      </c>
      <c r="L188">
        <v>492</v>
      </c>
      <c r="M188" t="s">
        <v>94</v>
      </c>
      <c r="N188" t="s">
        <v>837</v>
      </c>
      <c r="O188">
        <v>0.76133363617660943</v>
      </c>
      <c r="R188" t="s">
        <v>1528</v>
      </c>
      <c r="S188" t="s">
        <v>839</v>
      </c>
      <c r="T188" t="s">
        <v>849</v>
      </c>
      <c r="U188">
        <v>1</v>
      </c>
      <c r="V188">
        <v>2580.15</v>
      </c>
      <c r="W188" t="s">
        <v>728</v>
      </c>
    </row>
    <row r="189" spans="1:23">
      <c r="A189" t="s">
        <v>1529</v>
      </c>
      <c r="B189" t="s">
        <v>343</v>
      </c>
      <c r="C189" t="s">
        <v>833</v>
      </c>
      <c r="D189" t="s">
        <v>1530</v>
      </c>
      <c r="E189" t="s">
        <v>719</v>
      </c>
      <c r="F189" t="s">
        <v>720</v>
      </c>
      <c r="G189" t="s">
        <v>1531</v>
      </c>
      <c r="I189">
        <v>1</v>
      </c>
      <c r="J189" t="s">
        <v>722</v>
      </c>
      <c r="K189" t="s">
        <v>723</v>
      </c>
      <c r="L189">
        <v>16253</v>
      </c>
      <c r="M189" t="s">
        <v>237</v>
      </c>
      <c r="N189" t="s">
        <v>795</v>
      </c>
      <c r="O189">
        <v>0.40795591482992438</v>
      </c>
      <c r="R189" t="s">
        <v>1532</v>
      </c>
      <c r="S189" t="s">
        <v>797</v>
      </c>
      <c r="T189" t="s">
        <v>1273</v>
      </c>
      <c r="U189">
        <v>1</v>
      </c>
      <c r="V189">
        <v>5747.5</v>
      </c>
      <c r="W189" t="s">
        <v>728</v>
      </c>
    </row>
    <row r="190" spans="1:23">
      <c r="A190" t="s">
        <v>1529</v>
      </c>
      <c r="B190" t="s">
        <v>345</v>
      </c>
      <c r="C190" t="s">
        <v>861</v>
      </c>
      <c r="D190" t="s">
        <v>1530</v>
      </c>
      <c r="E190" t="s">
        <v>719</v>
      </c>
      <c r="F190" t="s">
        <v>720</v>
      </c>
      <c r="G190" t="s">
        <v>1531</v>
      </c>
      <c r="I190">
        <v>1</v>
      </c>
      <c r="J190" t="s">
        <v>722</v>
      </c>
      <c r="K190" t="s">
        <v>723</v>
      </c>
      <c r="L190">
        <v>16257</v>
      </c>
      <c r="M190" t="s">
        <v>234</v>
      </c>
      <c r="N190" t="s">
        <v>733</v>
      </c>
      <c r="O190">
        <v>0.58110046615506017</v>
      </c>
      <c r="R190" t="s">
        <v>1533</v>
      </c>
      <c r="S190" t="s">
        <v>735</v>
      </c>
      <c r="T190" t="s">
        <v>1268</v>
      </c>
      <c r="U190">
        <v>1</v>
      </c>
      <c r="V190">
        <v>6253.28</v>
      </c>
      <c r="W190" t="s">
        <v>728</v>
      </c>
    </row>
    <row r="191" spans="1:23">
      <c r="A191" t="s">
        <v>1534</v>
      </c>
      <c r="B191" t="s">
        <v>347</v>
      </c>
      <c r="C191" t="s">
        <v>738</v>
      </c>
      <c r="D191" t="s">
        <v>1270</v>
      </c>
      <c r="E191" t="s">
        <v>719</v>
      </c>
      <c r="F191" t="s">
        <v>720</v>
      </c>
      <c r="G191" t="s">
        <v>1535</v>
      </c>
      <c r="I191">
        <v>1</v>
      </c>
      <c r="J191" t="s">
        <v>722</v>
      </c>
      <c r="K191" t="s">
        <v>723</v>
      </c>
      <c r="L191">
        <v>16256</v>
      </c>
      <c r="M191" t="s">
        <v>349</v>
      </c>
      <c r="N191" t="s">
        <v>724</v>
      </c>
      <c r="O191">
        <v>0.39509139247531289</v>
      </c>
      <c r="R191" t="s">
        <v>1536</v>
      </c>
      <c r="S191" t="s">
        <v>726</v>
      </c>
      <c r="T191" t="s">
        <v>1537</v>
      </c>
      <c r="U191">
        <v>1</v>
      </c>
      <c r="V191">
        <v>5910.8</v>
      </c>
      <c r="W191" t="s">
        <v>728</v>
      </c>
    </row>
    <row r="192" spans="1:23">
      <c r="A192" t="s">
        <v>1538</v>
      </c>
      <c r="B192" t="s">
        <v>232</v>
      </c>
      <c r="C192" t="s">
        <v>738</v>
      </c>
      <c r="D192" t="s">
        <v>1266</v>
      </c>
      <c r="E192" t="s">
        <v>719</v>
      </c>
      <c r="F192" t="s">
        <v>720</v>
      </c>
      <c r="G192" t="s">
        <v>1128</v>
      </c>
      <c r="I192">
        <v>1</v>
      </c>
      <c r="J192" t="s">
        <v>722</v>
      </c>
      <c r="K192" t="s">
        <v>723</v>
      </c>
      <c r="L192">
        <v>16257</v>
      </c>
      <c r="M192" t="s">
        <v>234</v>
      </c>
      <c r="N192" t="s">
        <v>733</v>
      </c>
      <c r="O192">
        <v>0.43734352263818299</v>
      </c>
      <c r="R192" t="s">
        <v>1267</v>
      </c>
      <c r="S192" t="s">
        <v>735</v>
      </c>
      <c r="T192" t="s">
        <v>1268</v>
      </c>
      <c r="U192">
        <v>1</v>
      </c>
      <c r="V192">
        <v>6355.28</v>
      </c>
      <c r="W192" t="s">
        <v>728</v>
      </c>
    </row>
    <row r="193" spans="1:23">
      <c r="A193" t="s">
        <v>1539</v>
      </c>
      <c r="B193" t="s">
        <v>350</v>
      </c>
      <c r="C193" t="s">
        <v>833</v>
      </c>
      <c r="D193" t="s">
        <v>1270</v>
      </c>
      <c r="E193" t="s">
        <v>719</v>
      </c>
      <c r="F193" t="s">
        <v>720</v>
      </c>
      <c r="G193" t="s">
        <v>1271</v>
      </c>
      <c r="I193">
        <v>1</v>
      </c>
      <c r="J193" t="s">
        <v>722</v>
      </c>
      <c r="K193" t="s">
        <v>723</v>
      </c>
      <c r="L193">
        <v>16256</v>
      </c>
      <c r="M193" t="s">
        <v>349</v>
      </c>
      <c r="N193" t="s">
        <v>724</v>
      </c>
      <c r="O193">
        <v>0.40411206977287162</v>
      </c>
      <c r="R193" t="s">
        <v>1540</v>
      </c>
      <c r="S193" t="s">
        <v>726</v>
      </c>
      <c r="T193" t="s">
        <v>1537</v>
      </c>
      <c r="U193">
        <v>1</v>
      </c>
      <c r="V193">
        <v>5910.8</v>
      </c>
      <c r="W193" t="s">
        <v>728</v>
      </c>
    </row>
    <row r="194" spans="1:23">
      <c r="A194" t="s">
        <v>1541</v>
      </c>
      <c r="B194" t="s">
        <v>1542</v>
      </c>
      <c r="C194" t="s">
        <v>833</v>
      </c>
      <c r="D194" t="s">
        <v>1270</v>
      </c>
      <c r="E194" t="s">
        <v>353</v>
      </c>
      <c r="F194" t="s">
        <v>720</v>
      </c>
      <c r="G194" t="s">
        <v>917</v>
      </c>
      <c r="L194">
        <v>16256</v>
      </c>
      <c r="M194" t="s">
        <v>349</v>
      </c>
      <c r="N194" t="s">
        <v>724</v>
      </c>
      <c r="O194">
        <v>0.38146901460250843</v>
      </c>
      <c r="R194" t="s">
        <v>1543</v>
      </c>
      <c r="S194" t="s">
        <v>1544</v>
      </c>
      <c r="T194" t="s">
        <v>1537</v>
      </c>
      <c r="U194">
        <v>1</v>
      </c>
      <c r="V194">
        <v>5910.8</v>
      </c>
      <c r="W194" t="s">
        <v>728</v>
      </c>
    </row>
    <row r="195" spans="1:23">
      <c r="A195" t="s">
        <v>1545</v>
      </c>
      <c r="B195" t="s">
        <v>354</v>
      </c>
      <c r="C195" t="s">
        <v>861</v>
      </c>
      <c r="D195" t="s">
        <v>1270</v>
      </c>
      <c r="E195" t="s">
        <v>719</v>
      </c>
      <c r="F195" t="s">
        <v>720</v>
      </c>
      <c r="G195" t="s">
        <v>1133</v>
      </c>
      <c r="I195">
        <v>1</v>
      </c>
      <c r="J195" t="s">
        <v>722</v>
      </c>
      <c r="K195" t="s">
        <v>723</v>
      </c>
      <c r="L195">
        <v>16256</v>
      </c>
      <c r="M195" t="s">
        <v>349</v>
      </c>
      <c r="N195" t="s">
        <v>724</v>
      </c>
      <c r="O195">
        <v>0.54201508014395616</v>
      </c>
      <c r="R195" t="s">
        <v>1546</v>
      </c>
      <c r="S195" t="s">
        <v>726</v>
      </c>
      <c r="T195" t="s">
        <v>1537</v>
      </c>
      <c r="U195">
        <v>1</v>
      </c>
      <c r="V195">
        <v>5910.8</v>
      </c>
      <c r="W195" t="s">
        <v>728</v>
      </c>
    </row>
    <row r="196" spans="1:23">
      <c r="A196" t="s">
        <v>1547</v>
      </c>
      <c r="B196" t="s">
        <v>356</v>
      </c>
      <c r="C196" t="s">
        <v>861</v>
      </c>
      <c r="D196" t="s">
        <v>1270</v>
      </c>
      <c r="E196" t="s">
        <v>719</v>
      </c>
      <c r="F196" t="s">
        <v>720</v>
      </c>
      <c r="G196" t="s">
        <v>1548</v>
      </c>
      <c r="I196">
        <v>1</v>
      </c>
      <c r="J196" t="s">
        <v>722</v>
      </c>
      <c r="K196" t="s">
        <v>723</v>
      </c>
      <c r="L196">
        <v>16253</v>
      </c>
      <c r="M196" t="s">
        <v>237</v>
      </c>
      <c r="N196" t="s">
        <v>795</v>
      </c>
      <c r="O196">
        <v>0.55836473883928517</v>
      </c>
      <c r="R196" t="s">
        <v>1549</v>
      </c>
      <c r="S196" t="s">
        <v>797</v>
      </c>
      <c r="T196" t="s">
        <v>1273</v>
      </c>
      <c r="U196">
        <v>1</v>
      </c>
      <c r="V196">
        <v>5277.5</v>
      </c>
      <c r="W196" t="s">
        <v>728</v>
      </c>
    </row>
    <row r="197" spans="1:23">
      <c r="A197" t="s">
        <v>1550</v>
      </c>
      <c r="B197" t="s">
        <v>358</v>
      </c>
      <c r="C197" t="s">
        <v>738</v>
      </c>
      <c r="D197" t="s">
        <v>1270</v>
      </c>
      <c r="E197" t="s">
        <v>719</v>
      </c>
      <c r="F197" t="s">
        <v>720</v>
      </c>
      <c r="G197" t="s">
        <v>764</v>
      </c>
      <c r="I197">
        <v>1</v>
      </c>
      <c r="J197" t="s">
        <v>722</v>
      </c>
      <c r="K197" t="s">
        <v>723</v>
      </c>
      <c r="L197">
        <v>16256</v>
      </c>
      <c r="M197" t="s">
        <v>349</v>
      </c>
      <c r="N197" t="s">
        <v>724</v>
      </c>
      <c r="O197">
        <v>0.4063022564036412</v>
      </c>
      <c r="R197" t="s">
        <v>1551</v>
      </c>
      <c r="S197" t="s">
        <v>726</v>
      </c>
      <c r="T197" t="s">
        <v>1537</v>
      </c>
      <c r="U197">
        <v>1</v>
      </c>
      <c r="V197">
        <v>5910.8</v>
      </c>
      <c r="W197" t="s">
        <v>728</v>
      </c>
    </row>
    <row r="198" spans="1:23">
      <c r="A198" t="s">
        <v>1552</v>
      </c>
      <c r="B198" t="s">
        <v>1553</v>
      </c>
      <c r="C198" t="s">
        <v>738</v>
      </c>
      <c r="D198" t="s">
        <v>1270</v>
      </c>
      <c r="E198" t="s">
        <v>719</v>
      </c>
      <c r="F198" t="s">
        <v>720</v>
      </c>
      <c r="G198" t="s">
        <v>1535</v>
      </c>
      <c r="I198">
        <v>1</v>
      </c>
      <c r="J198" t="s">
        <v>722</v>
      </c>
      <c r="K198" t="s">
        <v>723</v>
      </c>
      <c r="L198">
        <v>16256</v>
      </c>
      <c r="M198" t="s">
        <v>349</v>
      </c>
      <c r="N198" t="s">
        <v>724</v>
      </c>
      <c r="O198">
        <v>0.4024376097939607</v>
      </c>
      <c r="R198" t="s">
        <v>1554</v>
      </c>
      <c r="S198" t="s">
        <v>726</v>
      </c>
      <c r="T198" t="s">
        <v>1537</v>
      </c>
      <c r="U198">
        <v>1</v>
      </c>
      <c r="V198">
        <v>5910.8</v>
      </c>
      <c r="W198" t="s">
        <v>728</v>
      </c>
    </row>
    <row r="199" spans="1:23">
      <c r="A199" t="s">
        <v>1555</v>
      </c>
      <c r="B199" t="s">
        <v>361</v>
      </c>
      <c r="C199" t="s">
        <v>861</v>
      </c>
      <c r="D199" t="s">
        <v>1270</v>
      </c>
      <c r="E199" t="s">
        <v>719</v>
      </c>
      <c r="F199" t="s">
        <v>720</v>
      </c>
      <c r="G199" t="s">
        <v>1427</v>
      </c>
      <c r="I199">
        <v>1</v>
      </c>
      <c r="J199" t="s">
        <v>722</v>
      </c>
      <c r="K199" t="s">
        <v>723</v>
      </c>
      <c r="L199">
        <v>16253</v>
      </c>
      <c r="M199" t="s">
        <v>237</v>
      </c>
      <c r="N199" t="s">
        <v>795</v>
      </c>
      <c r="O199">
        <v>0.55936245276384078</v>
      </c>
      <c r="R199" t="s">
        <v>1556</v>
      </c>
      <c r="S199" t="s">
        <v>797</v>
      </c>
      <c r="T199" t="s">
        <v>1273</v>
      </c>
      <c r="U199">
        <v>1</v>
      </c>
      <c r="V199">
        <v>5277.5</v>
      </c>
      <c r="W199" t="s">
        <v>728</v>
      </c>
    </row>
    <row r="200" spans="1:23">
      <c r="A200" t="s">
        <v>1557</v>
      </c>
      <c r="B200" t="s">
        <v>363</v>
      </c>
      <c r="C200" t="s">
        <v>861</v>
      </c>
      <c r="D200" t="s">
        <v>1270</v>
      </c>
      <c r="E200" t="s">
        <v>719</v>
      </c>
      <c r="F200" t="s">
        <v>720</v>
      </c>
      <c r="G200" t="s">
        <v>917</v>
      </c>
      <c r="I200">
        <v>1</v>
      </c>
      <c r="J200" t="s">
        <v>722</v>
      </c>
      <c r="K200" t="s">
        <v>723</v>
      </c>
      <c r="L200">
        <v>16256</v>
      </c>
      <c r="M200" t="s">
        <v>349</v>
      </c>
      <c r="N200" t="s">
        <v>724</v>
      </c>
      <c r="O200">
        <v>0.59025020462761524</v>
      </c>
      <c r="R200" t="s">
        <v>1558</v>
      </c>
      <c r="S200" t="s">
        <v>726</v>
      </c>
      <c r="T200" t="s">
        <v>1537</v>
      </c>
      <c r="U200">
        <v>1</v>
      </c>
      <c r="V200">
        <v>5910.8</v>
      </c>
      <c r="W200" t="s">
        <v>728</v>
      </c>
    </row>
    <row r="201" spans="1:23">
      <c r="A201" t="s">
        <v>1559</v>
      </c>
      <c r="B201" t="s">
        <v>1560</v>
      </c>
      <c r="C201" t="s">
        <v>861</v>
      </c>
      <c r="D201" t="s">
        <v>1561</v>
      </c>
      <c r="E201" t="s">
        <v>719</v>
      </c>
      <c r="F201" t="s">
        <v>720</v>
      </c>
      <c r="G201" t="s">
        <v>1562</v>
      </c>
      <c r="I201">
        <v>1</v>
      </c>
      <c r="J201" t="s">
        <v>722</v>
      </c>
      <c r="K201" t="s">
        <v>723</v>
      </c>
      <c r="L201">
        <v>3990</v>
      </c>
      <c r="M201" t="s">
        <v>366</v>
      </c>
      <c r="N201" t="s">
        <v>765</v>
      </c>
      <c r="O201">
        <v>0.49200481232742188</v>
      </c>
      <c r="R201" t="s">
        <v>1563</v>
      </c>
      <c r="S201" t="s">
        <v>1362</v>
      </c>
      <c r="T201" t="s">
        <v>1564</v>
      </c>
      <c r="U201">
        <v>1</v>
      </c>
      <c r="V201">
        <v>5982.2999999999993</v>
      </c>
      <c r="W201" t="s">
        <v>728</v>
      </c>
    </row>
    <row r="202" spans="1:23">
      <c r="A202" t="s">
        <v>1565</v>
      </c>
      <c r="B202" t="s">
        <v>367</v>
      </c>
      <c r="C202" t="s">
        <v>1245</v>
      </c>
      <c r="D202" t="s">
        <v>1196</v>
      </c>
      <c r="E202" t="s">
        <v>719</v>
      </c>
      <c r="F202" t="s">
        <v>1304</v>
      </c>
      <c r="G202" t="s">
        <v>1305</v>
      </c>
      <c r="H202" t="s">
        <v>1515</v>
      </c>
      <c r="I202">
        <v>1</v>
      </c>
      <c r="J202" t="s">
        <v>722</v>
      </c>
      <c r="K202" t="s">
        <v>723</v>
      </c>
      <c r="L202">
        <v>818</v>
      </c>
      <c r="M202" t="s">
        <v>339</v>
      </c>
      <c r="N202" t="s">
        <v>837</v>
      </c>
      <c r="O202">
        <v>0.77788289539434197</v>
      </c>
      <c r="R202" t="s">
        <v>1566</v>
      </c>
      <c r="S202" t="s">
        <v>839</v>
      </c>
      <c r="T202" t="s">
        <v>1517</v>
      </c>
      <c r="U202">
        <v>1</v>
      </c>
      <c r="V202">
        <v>236</v>
      </c>
      <c r="W202" t="s">
        <v>728</v>
      </c>
    </row>
    <row r="203" spans="1:23">
      <c r="A203" t="s">
        <v>1567</v>
      </c>
      <c r="B203" t="s">
        <v>260</v>
      </c>
      <c r="C203" t="s">
        <v>861</v>
      </c>
      <c r="D203" t="s">
        <v>1301</v>
      </c>
      <c r="E203" t="s">
        <v>719</v>
      </c>
      <c r="F203" t="s">
        <v>720</v>
      </c>
      <c r="G203" t="s">
        <v>1568</v>
      </c>
      <c r="I203">
        <v>1</v>
      </c>
      <c r="J203" t="s">
        <v>722</v>
      </c>
      <c r="K203" t="s">
        <v>723</v>
      </c>
      <c r="L203">
        <v>16253</v>
      </c>
      <c r="M203" t="s">
        <v>237</v>
      </c>
      <c r="N203" t="s">
        <v>795</v>
      </c>
      <c r="O203">
        <v>0.58509615628105083</v>
      </c>
      <c r="R203" t="s">
        <v>1569</v>
      </c>
      <c r="S203" t="s">
        <v>797</v>
      </c>
      <c r="T203" t="s">
        <v>1273</v>
      </c>
      <c r="U203">
        <v>1</v>
      </c>
      <c r="V203">
        <v>6248.75</v>
      </c>
      <c r="W203" t="s">
        <v>728</v>
      </c>
    </row>
    <row r="204" spans="1:23">
      <c r="A204" t="s">
        <v>1570</v>
      </c>
      <c r="B204" t="s">
        <v>1571</v>
      </c>
      <c r="C204" t="s">
        <v>738</v>
      </c>
      <c r="D204" t="s">
        <v>1572</v>
      </c>
      <c r="E204" t="s">
        <v>719</v>
      </c>
      <c r="F204" t="s">
        <v>720</v>
      </c>
      <c r="G204" t="s">
        <v>1319</v>
      </c>
      <c r="I204">
        <v>1</v>
      </c>
      <c r="J204" t="s">
        <v>722</v>
      </c>
      <c r="K204" t="s">
        <v>723</v>
      </c>
      <c r="L204">
        <v>16257</v>
      </c>
      <c r="M204" t="s">
        <v>234</v>
      </c>
      <c r="N204" t="s">
        <v>733</v>
      </c>
      <c r="O204">
        <v>0.41126261902630651</v>
      </c>
      <c r="R204" t="s">
        <v>1573</v>
      </c>
      <c r="S204" t="s">
        <v>735</v>
      </c>
      <c r="T204" t="s">
        <v>1268</v>
      </c>
      <c r="U204">
        <v>1</v>
      </c>
      <c r="V204">
        <v>4906.88</v>
      </c>
      <c r="W204" t="s">
        <v>728</v>
      </c>
    </row>
    <row r="205" spans="1:23">
      <c r="A205" t="s">
        <v>1574</v>
      </c>
      <c r="B205" t="s">
        <v>250</v>
      </c>
      <c r="C205" t="s">
        <v>861</v>
      </c>
      <c r="D205" t="s">
        <v>1326</v>
      </c>
      <c r="E205" t="s">
        <v>719</v>
      </c>
      <c r="F205" t="s">
        <v>720</v>
      </c>
      <c r="G205" t="s">
        <v>1575</v>
      </c>
      <c r="I205">
        <v>1</v>
      </c>
      <c r="J205" t="s">
        <v>722</v>
      </c>
      <c r="K205" t="s">
        <v>723</v>
      </c>
      <c r="L205">
        <v>16253</v>
      </c>
      <c r="M205" t="s">
        <v>237</v>
      </c>
      <c r="N205" t="s">
        <v>795</v>
      </c>
      <c r="O205">
        <v>0.59228827782528914</v>
      </c>
      <c r="R205" t="s">
        <v>1576</v>
      </c>
      <c r="S205" t="s">
        <v>797</v>
      </c>
      <c r="T205" t="s">
        <v>1273</v>
      </c>
      <c r="U205">
        <v>1</v>
      </c>
      <c r="V205">
        <v>5207.25</v>
      </c>
      <c r="W205" t="s">
        <v>728</v>
      </c>
    </row>
    <row r="206" spans="1:23">
      <c r="A206" t="s">
        <v>1574</v>
      </c>
      <c r="B206" t="s">
        <v>260</v>
      </c>
      <c r="C206" t="s">
        <v>861</v>
      </c>
      <c r="D206" t="s">
        <v>1301</v>
      </c>
      <c r="E206" t="s">
        <v>353</v>
      </c>
      <c r="F206" t="s">
        <v>720</v>
      </c>
      <c r="G206" t="s">
        <v>1577</v>
      </c>
      <c r="L206">
        <v>16253</v>
      </c>
      <c r="M206" t="s">
        <v>237</v>
      </c>
      <c r="N206" t="s">
        <v>795</v>
      </c>
      <c r="O206">
        <v>0.57086284414480037</v>
      </c>
      <c r="R206" t="s">
        <v>1578</v>
      </c>
      <c r="S206" t="s">
        <v>1579</v>
      </c>
      <c r="T206" t="s">
        <v>1273</v>
      </c>
      <c r="U206">
        <v>1</v>
      </c>
      <c r="V206">
        <v>6248.75</v>
      </c>
      <c r="W206" t="s">
        <v>728</v>
      </c>
    </row>
    <row r="207" spans="1:23">
      <c r="A207" t="s">
        <v>1580</v>
      </c>
      <c r="B207" t="s">
        <v>369</v>
      </c>
      <c r="C207" t="s">
        <v>1245</v>
      </c>
      <c r="D207" t="s">
        <v>1322</v>
      </c>
      <c r="E207" t="s">
        <v>719</v>
      </c>
      <c r="F207" t="s">
        <v>1304</v>
      </c>
      <c r="G207" t="s">
        <v>1319</v>
      </c>
      <c r="H207" t="s">
        <v>1515</v>
      </c>
      <c r="I207">
        <v>1</v>
      </c>
      <c r="J207" t="s">
        <v>722</v>
      </c>
      <c r="K207" t="s">
        <v>723</v>
      </c>
      <c r="L207">
        <v>818</v>
      </c>
      <c r="M207" t="s">
        <v>339</v>
      </c>
      <c r="N207" t="s">
        <v>837</v>
      </c>
      <c r="O207">
        <v>0.77562349814354015</v>
      </c>
      <c r="R207" t="s">
        <v>1581</v>
      </c>
      <c r="S207" t="s">
        <v>839</v>
      </c>
      <c r="T207" t="s">
        <v>1517</v>
      </c>
      <c r="U207">
        <v>1</v>
      </c>
      <c r="V207">
        <v>13234.88</v>
      </c>
      <c r="W207" t="s">
        <v>728</v>
      </c>
    </row>
    <row r="208" spans="1:23">
      <c r="A208" t="s">
        <v>1582</v>
      </c>
      <c r="B208" t="s">
        <v>371</v>
      </c>
      <c r="C208" t="s">
        <v>861</v>
      </c>
      <c r="D208" t="s">
        <v>1301</v>
      </c>
      <c r="E208" t="s">
        <v>353</v>
      </c>
      <c r="F208" t="s">
        <v>720</v>
      </c>
      <c r="G208" t="s">
        <v>1319</v>
      </c>
      <c r="L208">
        <v>16253</v>
      </c>
      <c r="M208" t="s">
        <v>237</v>
      </c>
      <c r="N208" t="s">
        <v>795</v>
      </c>
      <c r="O208">
        <v>0.55533650727956352</v>
      </c>
      <c r="R208" t="s">
        <v>1583</v>
      </c>
      <c r="S208" t="s">
        <v>1579</v>
      </c>
      <c r="T208" t="s">
        <v>1273</v>
      </c>
      <c r="U208">
        <v>1</v>
      </c>
      <c r="V208">
        <v>6248.75</v>
      </c>
      <c r="W208" t="s">
        <v>728</v>
      </c>
    </row>
    <row r="209" spans="1:23">
      <c r="A209" t="s">
        <v>1584</v>
      </c>
      <c r="B209" t="s">
        <v>373</v>
      </c>
      <c r="C209" t="s">
        <v>833</v>
      </c>
      <c r="D209" t="s">
        <v>1530</v>
      </c>
      <c r="E209" t="s">
        <v>719</v>
      </c>
      <c r="F209" t="s">
        <v>720</v>
      </c>
      <c r="G209" t="s">
        <v>1531</v>
      </c>
      <c r="I209">
        <v>1</v>
      </c>
      <c r="J209" t="s">
        <v>722</v>
      </c>
      <c r="K209" t="s">
        <v>723</v>
      </c>
      <c r="L209">
        <v>16257</v>
      </c>
      <c r="M209" t="s">
        <v>234</v>
      </c>
      <c r="N209" t="s">
        <v>733</v>
      </c>
      <c r="O209">
        <v>0.39471678118180931</v>
      </c>
      <c r="R209" t="s">
        <v>1585</v>
      </c>
      <c r="S209" t="s">
        <v>735</v>
      </c>
      <c r="T209" t="s">
        <v>1268</v>
      </c>
      <c r="U209">
        <v>1</v>
      </c>
      <c r="V209">
        <v>6253.28</v>
      </c>
      <c r="W209" t="s">
        <v>728</v>
      </c>
    </row>
    <row r="210" spans="1:23">
      <c r="A210" t="s">
        <v>1586</v>
      </c>
      <c r="B210" t="s">
        <v>375</v>
      </c>
      <c r="C210" t="s">
        <v>861</v>
      </c>
      <c r="D210" t="s">
        <v>1587</v>
      </c>
      <c r="E210" t="s">
        <v>746</v>
      </c>
      <c r="F210" t="s">
        <v>756</v>
      </c>
      <c r="G210" t="s">
        <v>1330</v>
      </c>
      <c r="L210">
        <v>16182</v>
      </c>
      <c r="M210" t="s">
        <v>135</v>
      </c>
      <c r="N210" t="s">
        <v>1011</v>
      </c>
      <c r="O210">
        <v>0.53196252791720511</v>
      </c>
      <c r="R210" t="s">
        <v>1588</v>
      </c>
      <c r="S210" t="s">
        <v>1589</v>
      </c>
      <c r="T210" t="s">
        <v>1014</v>
      </c>
      <c r="U210">
        <v>1</v>
      </c>
      <c r="V210">
        <v>85000</v>
      </c>
      <c r="W210" t="s">
        <v>728</v>
      </c>
    </row>
    <row r="211" spans="1:23">
      <c r="A211" t="s">
        <v>1590</v>
      </c>
      <c r="B211" t="s">
        <v>377</v>
      </c>
      <c r="C211" t="s">
        <v>861</v>
      </c>
      <c r="D211" t="s">
        <v>1591</v>
      </c>
      <c r="E211" t="s">
        <v>746</v>
      </c>
      <c r="F211" t="s">
        <v>756</v>
      </c>
      <c r="G211" t="s">
        <v>1592</v>
      </c>
      <c r="L211">
        <v>4136</v>
      </c>
      <c r="M211" t="s">
        <v>379</v>
      </c>
      <c r="N211" t="s">
        <v>1497</v>
      </c>
      <c r="O211">
        <v>0.49551830789279772</v>
      </c>
      <c r="R211" t="s">
        <v>1593</v>
      </c>
      <c r="S211" t="s">
        <v>1594</v>
      </c>
      <c r="T211" t="s">
        <v>1595</v>
      </c>
      <c r="U211">
        <v>1</v>
      </c>
      <c r="V211">
        <v>805000</v>
      </c>
      <c r="W211" t="s">
        <v>728</v>
      </c>
    </row>
    <row r="212" spans="1:23">
      <c r="A212" t="s">
        <v>1596</v>
      </c>
      <c r="B212" t="s">
        <v>380</v>
      </c>
      <c r="C212" t="s">
        <v>298</v>
      </c>
      <c r="D212" t="s">
        <v>1354</v>
      </c>
      <c r="E212" t="s">
        <v>746</v>
      </c>
      <c r="L212">
        <v>16212</v>
      </c>
      <c r="M212" t="s">
        <v>112</v>
      </c>
      <c r="N212" t="s">
        <v>733</v>
      </c>
      <c r="O212">
        <v>0.49903041145595611</v>
      </c>
      <c r="R212" t="s">
        <v>1597</v>
      </c>
      <c r="S212" t="s">
        <v>759</v>
      </c>
      <c r="T212" t="s">
        <v>960</v>
      </c>
      <c r="U212">
        <v>1</v>
      </c>
      <c r="V212">
        <v>45260</v>
      </c>
      <c r="W212" t="s">
        <v>728</v>
      </c>
    </row>
    <row r="213" spans="1:23">
      <c r="A213" t="s">
        <v>1598</v>
      </c>
      <c r="B213" t="s">
        <v>264</v>
      </c>
      <c r="C213" t="s">
        <v>298</v>
      </c>
      <c r="D213" t="s">
        <v>1599</v>
      </c>
      <c r="E213" t="s">
        <v>746</v>
      </c>
      <c r="F213" t="s">
        <v>1600</v>
      </c>
      <c r="G213" t="s">
        <v>1601</v>
      </c>
      <c r="H213" t="s">
        <v>1356</v>
      </c>
      <c r="L213">
        <v>16212</v>
      </c>
      <c r="M213" t="s">
        <v>112</v>
      </c>
      <c r="N213" t="s">
        <v>733</v>
      </c>
      <c r="O213">
        <v>0.45067674977801142</v>
      </c>
      <c r="R213" t="s">
        <v>1602</v>
      </c>
      <c r="S213" t="s">
        <v>759</v>
      </c>
      <c r="T213" t="s">
        <v>960</v>
      </c>
      <c r="U213">
        <v>1</v>
      </c>
      <c r="V213">
        <v>52787.5</v>
      </c>
      <c r="W213" t="s">
        <v>728</v>
      </c>
    </row>
    <row r="214" spans="1:23">
      <c r="A214" t="s">
        <v>1603</v>
      </c>
      <c r="B214" t="s">
        <v>313</v>
      </c>
      <c r="C214" t="s">
        <v>298</v>
      </c>
      <c r="D214" t="s">
        <v>1604</v>
      </c>
      <c r="E214" t="s">
        <v>746</v>
      </c>
      <c r="F214" t="s">
        <v>756</v>
      </c>
      <c r="G214" t="s">
        <v>1605</v>
      </c>
      <c r="L214">
        <v>16208</v>
      </c>
      <c r="M214" t="s">
        <v>337</v>
      </c>
      <c r="N214" t="s">
        <v>795</v>
      </c>
      <c r="O214">
        <v>0.4470933681602961</v>
      </c>
      <c r="R214" t="s">
        <v>1606</v>
      </c>
      <c r="S214" t="s">
        <v>1048</v>
      </c>
      <c r="T214" t="s">
        <v>1513</v>
      </c>
      <c r="U214">
        <v>1</v>
      </c>
      <c r="V214">
        <v>5089.32</v>
      </c>
      <c r="W214" t="s">
        <v>728</v>
      </c>
    </row>
    <row r="215" spans="1:23">
      <c r="A215" t="s">
        <v>1607</v>
      </c>
      <c r="B215" t="s">
        <v>384</v>
      </c>
      <c r="C215" t="s">
        <v>298</v>
      </c>
      <c r="D215" t="s">
        <v>1608</v>
      </c>
      <c r="E215" t="s">
        <v>719</v>
      </c>
      <c r="F215" t="s">
        <v>720</v>
      </c>
      <c r="G215" t="s">
        <v>951</v>
      </c>
      <c r="I215">
        <v>1</v>
      </c>
      <c r="J215" t="s">
        <v>722</v>
      </c>
      <c r="K215" t="s">
        <v>723</v>
      </c>
      <c r="L215">
        <v>16212</v>
      </c>
      <c r="M215" t="s">
        <v>112</v>
      </c>
      <c r="N215" t="s">
        <v>733</v>
      </c>
      <c r="O215">
        <v>0.518048778836117</v>
      </c>
      <c r="R215" t="s">
        <v>1609</v>
      </c>
      <c r="S215" t="s">
        <v>735</v>
      </c>
      <c r="T215" t="s">
        <v>960</v>
      </c>
      <c r="U215">
        <v>1</v>
      </c>
      <c r="V215">
        <v>8637.5</v>
      </c>
      <c r="W215" t="s">
        <v>728</v>
      </c>
    </row>
    <row r="216" spans="1:23">
      <c r="A216" t="s">
        <v>1610</v>
      </c>
      <c r="B216" t="s">
        <v>1611</v>
      </c>
      <c r="C216" t="s">
        <v>738</v>
      </c>
      <c r="D216" t="s">
        <v>745</v>
      </c>
      <c r="E216" t="s">
        <v>746</v>
      </c>
      <c r="F216" t="s">
        <v>720</v>
      </c>
      <c r="G216" t="s">
        <v>747</v>
      </c>
      <c r="L216">
        <v>13117</v>
      </c>
      <c r="M216" t="s">
        <v>54</v>
      </c>
      <c r="N216" t="s">
        <v>748</v>
      </c>
      <c r="O216">
        <v>0.44692428258090933</v>
      </c>
      <c r="R216" t="s">
        <v>1612</v>
      </c>
      <c r="S216" t="s">
        <v>750</v>
      </c>
      <c r="T216" t="s">
        <v>751</v>
      </c>
      <c r="U216">
        <v>1</v>
      </c>
      <c r="V216">
        <v>5216.2599999999993</v>
      </c>
      <c r="W216" t="s">
        <v>728</v>
      </c>
    </row>
    <row r="217" spans="1:23">
      <c r="A217" t="s">
        <v>1613</v>
      </c>
      <c r="B217" t="s">
        <v>387</v>
      </c>
      <c r="C217" t="s">
        <v>738</v>
      </c>
      <c r="D217" t="s">
        <v>1614</v>
      </c>
      <c r="E217" t="s">
        <v>719</v>
      </c>
      <c r="F217" t="s">
        <v>720</v>
      </c>
      <c r="G217" t="s">
        <v>1615</v>
      </c>
      <c r="I217">
        <v>1</v>
      </c>
      <c r="J217" t="s">
        <v>722</v>
      </c>
      <c r="K217" t="s">
        <v>723</v>
      </c>
      <c r="L217">
        <v>16206</v>
      </c>
      <c r="M217" t="s">
        <v>151</v>
      </c>
      <c r="N217" t="s">
        <v>724</v>
      </c>
      <c r="O217">
        <v>0.35603408087056659</v>
      </c>
      <c r="R217" t="s">
        <v>1616</v>
      </c>
      <c r="S217" t="s">
        <v>726</v>
      </c>
      <c r="T217" t="s">
        <v>1054</v>
      </c>
      <c r="U217">
        <v>1</v>
      </c>
      <c r="V217">
        <v>6652.7999999999993</v>
      </c>
      <c r="W217" t="s">
        <v>728</v>
      </c>
    </row>
    <row r="218" spans="1:23">
      <c r="A218" t="s">
        <v>1617</v>
      </c>
      <c r="B218" t="s">
        <v>1618</v>
      </c>
      <c r="C218" t="s">
        <v>861</v>
      </c>
      <c r="D218" t="s">
        <v>1619</v>
      </c>
      <c r="E218" t="s">
        <v>719</v>
      </c>
      <c r="F218" t="s">
        <v>720</v>
      </c>
      <c r="G218" t="s">
        <v>1178</v>
      </c>
      <c r="I218">
        <v>1</v>
      </c>
      <c r="J218" t="s">
        <v>722</v>
      </c>
      <c r="K218" t="s">
        <v>723</v>
      </c>
      <c r="L218">
        <v>16292</v>
      </c>
      <c r="M218" t="s">
        <v>390</v>
      </c>
      <c r="N218" t="s">
        <v>733</v>
      </c>
      <c r="O218">
        <v>0.53987130363217761</v>
      </c>
      <c r="R218" t="s">
        <v>1620</v>
      </c>
      <c r="S218" t="s">
        <v>735</v>
      </c>
      <c r="T218" t="s">
        <v>1621</v>
      </c>
      <c r="U218">
        <v>1</v>
      </c>
      <c r="V218">
        <v>1384750</v>
      </c>
      <c r="W218" t="s">
        <v>728</v>
      </c>
    </row>
    <row r="219" spans="1:23">
      <c r="A219" t="s">
        <v>1622</v>
      </c>
      <c r="B219" t="s">
        <v>391</v>
      </c>
      <c r="C219" t="s">
        <v>738</v>
      </c>
      <c r="D219" t="s">
        <v>739</v>
      </c>
      <c r="E219" t="s">
        <v>719</v>
      </c>
      <c r="F219" t="s">
        <v>740</v>
      </c>
      <c r="G219" t="s">
        <v>1623</v>
      </c>
      <c r="I219">
        <v>1</v>
      </c>
      <c r="J219" t="s">
        <v>722</v>
      </c>
      <c r="K219" t="s">
        <v>723</v>
      </c>
      <c r="L219">
        <v>13120</v>
      </c>
      <c r="M219" t="s">
        <v>50</v>
      </c>
      <c r="N219" t="s">
        <v>733</v>
      </c>
      <c r="O219">
        <v>0.44789739230546849</v>
      </c>
      <c r="R219" t="s">
        <v>1624</v>
      </c>
      <c r="S219" t="s">
        <v>735</v>
      </c>
      <c r="T219" t="s">
        <v>743</v>
      </c>
      <c r="U219">
        <v>1</v>
      </c>
      <c r="V219">
        <v>104247</v>
      </c>
      <c r="W219" t="s">
        <v>728</v>
      </c>
    </row>
    <row r="220" spans="1:23">
      <c r="A220" t="s">
        <v>1625</v>
      </c>
      <c r="B220" t="s">
        <v>393</v>
      </c>
      <c r="C220" t="s">
        <v>730</v>
      </c>
      <c r="D220" t="s">
        <v>731</v>
      </c>
      <c r="E220" t="s">
        <v>394</v>
      </c>
      <c r="F220" t="s">
        <v>720</v>
      </c>
      <c r="G220" t="s">
        <v>1626</v>
      </c>
      <c r="L220">
        <v>16237</v>
      </c>
      <c r="M220" t="s">
        <v>46</v>
      </c>
      <c r="N220" t="s">
        <v>733</v>
      </c>
      <c r="O220">
        <v>0.36271190874665221</v>
      </c>
      <c r="R220" t="s">
        <v>1627</v>
      </c>
      <c r="S220" t="s">
        <v>1628</v>
      </c>
      <c r="T220" t="s">
        <v>736</v>
      </c>
      <c r="U220">
        <v>1</v>
      </c>
      <c r="V220">
        <v>8042.2</v>
      </c>
      <c r="W220" t="s">
        <v>728</v>
      </c>
    </row>
    <row r="221" spans="1:23">
      <c r="A221" t="s">
        <v>1629</v>
      </c>
      <c r="B221" t="s">
        <v>63</v>
      </c>
      <c r="C221" t="s">
        <v>738</v>
      </c>
      <c r="D221" t="s">
        <v>1630</v>
      </c>
      <c r="E221" t="s">
        <v>746</v>
      </c>
      <c r="F221" t="s">
        <v>756</v>
      </c>
      <c r="G221" t="s">
        <v>757</v>
      </c>
      <c r="L221">
        <v>13117</v>
      </c>
      <c r="M221" t="s">
        <v>54</v>
      </c>
      <c r="N221" t="s">
        <v>748</v>
      </c>
      <c r="O221">
        <v>0.4285128003031804</v>
      </c>
      <c r="R221" t="s">
        <v>1631</v>
      </c>
      <c r="S221" t="s">
        <v>750</v>
      </c>
      <c r="T221" t="s">
        <v>751</v>
      </c>
      <c r="U221">
        <v>1</v>
      </c>
      <c r="V221">
        <v>1257.26</v>
      </c>
      <c r="W221" t="s">
        <v>728</v>
      </c>
    </row>
    <row r="222" spans="1:23">
      <c r="A222" t="s">
        <v>1632</v>
      </c>
      <c r="B222" t="s">
        <v>395</v>
      </c>
      <c r="C222" t="s">
        <v>738</v>
      </c>
      <c r="D222" t="s">
        <v>1633</v>
      </c>
      <c r="E222" t="s">
        <v>746</v>
      </c>
      <c r="F222" t="s">
        <v>756</v>
      </c>
      <c r="G222" t="s">
        <v>761</v>
      </c>
      <c r="L222">
        <v>13120</v>
      </c>
      <c r="M222" t="s">
        <v>50</v>
      </c>
      <c r="N222" t="s">
        <v>733</v>
      </c>
      <c r="O222">
        <v>0.42060711839369902</v>
      </c>
      <c r="R222" t="s">
        <v>1634</v>
      </c>
      <c r="S222" t="s">
        <v>759</v>
      </c>
      <c r="T222" t="s">
        <v>743</v>
      </c>
      <c r="U222">
        <v>1</v>
      </c>
      <c r="V222">
        <v>679.5</v>
      </c>
      <c r="W222" t="s">
        <v>728</v>
      </c>
    </row>
    <row r="223" spans="1:23">
      <c r="A223" t="s">
        <v>1635</v>
      </c>
      <c r="B223" t="s">
        <v>397</v>
      </c>
      <c r="C223" t="s">
        <v>738</v>
      </c>
      <c r="D223" t="s">
        <v>1636</v>
      </c>
      <c r="E223" t="s">
        <v>746</v>
      </c>
      <c r="F223" t="s">
        <v>756</v>
      </c>
      <c r="G223" t="s">
        <v>764</v>
      </c>
      <c r="L223">
        <v>592</v>
      </c>
      <c r="M223" t="s">
        <v>399</v>
      </c>
      <c r="N223" t="s">
        <v>733</v>
      </c>
      <c r="O223">
        <v>0.31436860984171372</v>
      </c>
      <c r="R223" t="s">
        <v>1637</v>
      </c>
      <c r="S223" t="s">
        <v>759</v>
      </c>
      <c r="T223" t="s">
        <v>1638</v>
      </c>
      <c r="U223">
        <v>1</v>
      </c>
      <c r="V223">
        <v>622.6</v>
      </c>
      <c r="W223" t="s">
        <v>728</v>
      </c>
    </row>
    <row r="224" spans="1:23">
      <c r="A224" t="s">
        <v>1639</v>
      </c>
      <c r="B224" t="s">
        <v>400</v>
      </c>
      <c r="C224" t="s">
        <v>738</v>
      </c>
      <c r="D224" t="s">
        <v>770</v>
      </c>
      <c r="E224" t="s">
        <v>746</v>
      </c>
      <c r="F224" t="s">
        <v>756</v>
      </c>
      <c r="G224" t="s">
        <v>771</v>
      </c>
      <c r="L224">
        <v>13120</v>
      </c>
      <c r="M224" t="s">
        <v>50</v>
      </c>
      <c r="N224" t="s">
        <v>733</v>
      </c>
      <c r="O224">
        <v>0.44435730309597088</v>
      </c>
      <c r="R224" t="s">
        <v>1640</v>
      </c>
      <c r="S224" t="s">
        <v>759</v>
      </c>
      <c r="T224" t="s">
        <v>743</v>
      </c>
      <c r="U224">
        <v>1</v>
      </c>
      <c r="V224">
        <v>3822.75</v>
      </c>
      <c r="W224" t="s">
        <v>728</v>
      </c>
    </row>
    <row r="225" spans="1:23">
      <c r="A225" t="s">
        <v>1641</v>
      </c>
      <c r="B225" t="s">
        <v>397</v>
      </c>
      <c r="C225" t="s">
        <v>738</v>
      </c>
      <c r="D225" t="s">
        <v>1642</v>
      </c>
      <c r="E225" t="s">
        <v>746</v>
      </c>
      <c r="F225" t="s">
        <v>756</v>
      </c>
      <c r="G225" t="s">
        <v>1548</v>
      </c>
      <c r="L225">
        <v>592</v>
      </c>
      <c r="M225" t="s">
        <v>399</v>
      </c>
      <c r="N225" t="s">
        <v>733</v>
      </c>
      <c r="O225">
        <v>0.31590008446150802</v>
      </c>
      <c r="R225" t="s">
        <v>1643</v>
      </c>
      <c r="S225" t="s">
        <v>759</v>
      </c>
      <c r="T225" t="s">
        <v>1638</v>
      </c>
      <c r="U225">
        <v>1</v>
      </c>
      <c r="V225">
        <v>2411.1999999999998</v>
      </c>
      <c r="W225" t="s">
        <v>728</v>
      </c>
    </row>
    <row r="226" spans="1:23">
      <c r="A226" t="s">
        <v>1644</v>
      </c>
      <c r="B226" t="s">
        <v>402</v>
      </c>
      <c r="C226" t="s">
        <v>738</v>
      </c>
      <c r="D226" t="s">
        <v>777</v>
      </c>
      <c r="E226" t="s">
        <v>746</v>
      </c>
      <c r="F226" t="s">
        <v>756</v>
      </c>
      <c r="G226" t="s">
        <v>778</v>
      </c>
      <c r="L226">
        <v>588</v>
      </c>
      <c r="M226" t="s">
        <v>404</v>
      </c>
      <c r="N226" t="s">
        <v>795</v>
      </c>
      <c r="O226">
        <v>0.31224875617595782</v>
      </c>
      <c r="R226" t="s">
        <v>1645</v>
      </c>
      <c r="S226" t="s">
        <v>1048</v>
      </c>
      <c r="T226" t="s">
        <v>1646</v>
      </c>
      <c r="U226">
        <v>1</v>
      </c>
      <c r="V226">
        <v>17244.849999999999</v>
      </c>
      <c r="W226" t="s">
        <v>728</v>
      </c>
    </row>
    <row r="227" spans="1:23">
      <c r="A227" t="s">
        <v>1647</v>
      </c>
      <c r="B227" t="s">
        <v>405</v>
      </c>
      <c r="C227" t="s">
        <v>861</v>
      </c>
      <c r="D227" t="s">
        <v>1648</v>
      </c>
      <c r="E227" t="s">
        <v>719</v>
      </c>
      <c r="F227" t="s">
        <v>720</v>
      </c>
      <c r="G227" t="s">
        <v>1649</v>
      </c>
      <c r="I227">
        <v>1</v>
      </c>
      <c r="J227" t="s">
        <v>722</v>
      </c>
      <c r="K227" t="s">
        <v>723</v>
      </c>
      <c r="L227">
        <v>10840</v>
      </c>
      <c r="M227" t="s">
        <v>407</v>
      </c>
      <c r="N227" t="s">
        <v>733</v>
      </c>
      <c r="O227">
        <v>0.53978604899578586</v>
      </c>
      <c r="R227" t="s">
        <v>1650</v>
      </c>
      <c r="S227" t="s">
        <v>735</v>
      </c>
      <c r="T227" t="s">
        <v>1651</v>
      </c>
      <c r="U227">
        <v>1</v>
      </c>
      <c r="V227">
        <v>1129720.4099999999</v>
      </c>
      <c r="W227" t="s">
        <v>728</v>
      </c>
    </row>
    <row r="228" spans="1:23">
      <c r="A228" t="s">
        <v>1652</v>
      </c>
      <c r="B228" t="s">
        <v>1653</v>
      </c>
      <c r="C228" t="s">
        <v>738</v>
      </c>
      <c r="D228" t="s">
        <v>1654</v>
      </c>
      <c r="E228" t="s">
        <v>1337</v>
      </c>
      <c r="F228" t="s">
        <v>1600</v>
      </c>
      <c r="G228" t="s">
        <v>1655</v>
      </c>
      <c r="L228">
        <v>16207</v>
      </c>
      <c r="M228" t="s">
        <v>69</v>
      </c>
      <c r="N228" t="s">
        <v>733</v>
      </c>
      <c r="O228">
        <v>0.35203012002128858</v>
      </c>
      <c r="R228" t="s">
        <v>1656</v>
      </c>
      <c r="S228" t="s">
        <v>1657</v>
      </c>
      <c r="T228" t="s">
        <v>784</v>
      </c>
      <c r="U228">
        <v>1</v>
      </c>
      <c r="V228">
        <v>2261802.06</v>
      </c>
      <c r="W228" t="s">
        <v>728</v>
      </c>
    </row>
    <row r="229" spans="1:23">
      <c r="A229" t="s">
        <v>1658</v>
      </c>
      <c r="B229" t="s">
        <v>1659</v>
      </c>
      <c r="C229" t="s">
        <v>738</v>
      </c>
      <c r="D229" t="s">
        <v>1034</v>
      </c>
      <c r="E229" t="s">
        <v>746</v>
      </c>
      <c r="G229" t="s">
        <v>771</v>
      </c>
      <c r="L229">
        <v>16204</v>
      </c>
      <c r="M229" t="s">
        <v>145</v>
      </c>
      <c r="N229" t="s">
        <v>748</v>
      </c>
      <c r="O229">
        <v>0.32189781045201898</v>
      </c>
      <c r="R229" t="s">
        <v>1660</v>
      </c>
      <c r="S229" t="s">
        <v>750</v>
      </c>
      <c r="T229" t="s">
        <v>1040</v>
      </c>
      <c r="U229">
        <v>1</v>
      </c>
      <c r="V229">
        <v>128750</v>
      </c>
      <c r="W229" t="s">
        <v>728</v>
      </c>
    </row>
    <row r="230" spans="1:23">
      <c r="A230" t="s">
        <v>1661</v>
      </c>
      <c r="B230" t="s">
        <v>410</v>
      </c>
      <c r="C230" t="s">
        <v>738</v>
      </c>
      <c r="D230" t="s">
        <v>1662</v>
      </c>
      <c r="E230" t="s">
        <v>746</v>
      </c>
      <c r="F230" t="s">
        <v>1663</v>
      </c>
      <c r="G230" t="s">
        <v>1664</v>
      </c>
      <c r="L230">
        <v>16203</v>
      </c>
      <c r="M230" t="s">
        <v>136</v>
      </c>
      <c r="N230" t="s">
        <v>795</v>
      </c>
      <c r="O230">
        <v>0.32960937972718968</v>
      </c>
      <c r="R230" t="s">
        <v>1665</v>
      </c>
      <c r="S230" t="s">
        <v>1048</v>
      </c>
      <c r="T230" t="s">
        <v>1018</v>
      </c>
      <c r="U230">
        <v>1</v>
      </c>
      <c r="V230">
        <v>62010</v>
      </c>
      <c r="W230" t="s">
        <v>728</v>
      </c>
    </row>
  </sheetData>
  <phoneticPr fontId="1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排放源列表 Emission source list</vt:lpstr>
      <vt:lpstr>枚举值</vt:lpstr>
      <vt:lpstr>Sheet1</vt:lpstr>
      <vt:lpstr>Calculation - Audit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Mia Chen</cp:lastModifiedBy>
  <cp:revision/>
  <dcterms:created xsi:type="dcterms:W3CDTF">2022-07-08T10:13:00Z</dcterms:created>
  <dcterms:modified xsi:type="dcterms:W3CDTF">2025-12-08T10:23:46Z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BC16A86C94C944A6943128D8C9C0AFBA</vt:lpwstr>
  </property>
  <property fmtid="{D5CDD505-2E9C-101B-9397-08002B2CF9AE}" pid="3" name="KSOProductBuildVer">
    <vt:lpwstr>2052-4.6.1.7467</vt:lpwstr>
  </property>
  <property fmtid="{D5CDD505-2E9C-101B-9397-08002B2CF9AE}" pid="4" name="ContentTypeId">
    <vt:lpwstr>0x010100C8D131B0B416454C9A970BC8E45EC5CF</vt:lpwstr>
  </property>
</Properties>
</file>