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d.docs.live.net/a0b3011402176afa/Documents/"/>
    </mc:Choice>
  </mc:AlternateContent>
  <xr:revisionPtr revIDLastSave="146" documentId="8_{5986BAAB-DBE3-4C87-A0BD-3F6507EB270E}" xr6:coauthVersionLast="47" xr6:coauthVersionMax="47" xr10:uidLastSave="{0C572BFD-19F0-4DAC-9531-B19964F871CB}"/>
  <bookViews>
    <workbookView xWindow="9600" yWindow="5130" windowWidth="28800" windowHeight="15345" xr2:uid="{D8C9067A-7B41-43A9-A971-4E3D74D13CCB}"/>
  </bookViews>
  <sheets>
    <sheet name="Sheet1" sheetId="1" r:id="rId1"/>
    <sheet name="Exc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D17" i="1"/>
  <c r="E17" i="1"/>
  <c r="E18" i="1"/>
  <c r="K16" i="1"/>
  <c r="L15" i="1"/>
  <c r="J15" i="1"/>
  <c r="G15" i="1"/>
  <c r="G18" i="1"/>
  <c r="G17" i="1"/>
  <c r="C19" i="1"/>
  <c r="D19" i="1"/>
  <c r="E19" i="1"/>
  <c r="F19" i="1"/>
  <c r="B19" i="1"/>
  <c r="F18" i="1"/>
  <c r="J18" i="1"/>
  <c r="L18" i="1" s="1"/>
  <c r="F17" i="1"/>
  <c r="J17" i="1"/>
  <c r="L17" i="1" s="1"/>
  <c r="F16" i="1"/>
  <c r="D16" i="1"/>
  <c r="J16" i="1" s="1"/>
  <c r="L16" i="1" s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<sst xmlns="http://schemas.openxmlformats.org/spreadsheetml/2006/main" count="47" uniqueCount="35">
  <si>
    <t>July</t>
  </si>
  <si>
    <t xml:space="preserve">August </t>
  </si>
  <si>
    <t>Sept</t>
  </si>
  <si>
    <t>Oct</t>
  </si>
  <si>
    <t>Nov</t>
  </si>
  <si>
    <t>Dec</t>
  </si>
  <si>
    <t>Christophe</t>
  </si>
  <si>
    <t>Navigo Christophe Juil.pdf</t>
  </si>
  <si>
    <t>Navigo Christophe Aout.pdf</t>
  </si>
  <si>
    <t>Navigo Christophe Sept.pdf</t>
  </si>
  <si>
    <t>Navigo Christophe Oct.pdf</t>
  </si>
  <si>
    <t>Navigo Christophe Nov.pdf</t>
  </si>
  <si>
    <t>Navigo Christophe DEC.pdf</t>
  </si>
  <si>
    <t>Mariya</t>
  </si>
  <si>
    <t>Mariya-Navigo-Sept.pdf</t>
  </si>
  <si>
    <t>In Pakistan</t>
  </si>
  <si>
    <t>navigo Mariya nov.pdf</t>
  </si>
  <si>
    <t>Mariya-Navigo-Dec.pdf</t>
  </si>
  <si>
    <t>Victor</t>
  </si>
  <si>
    <t>Navigo Victor SEPT.pdf</t>
  </si>
  <si>
    <t>Navigo Victor OCT.pdf</t>
  </si>
  <si>
    <t>Navigo Victor Nov.pdf</t>
  </si>
  <si>
    <t>Navigo Victor Dec.pdf</t>
  </si>
  <si>
    <t>Toni</t>
  </si>
  <si>
    <t>Navigo Toni Oct.pdf</t>
  </si>
  <si>
    <t>Navigo Toni Nov.pdf</t>
  </si>
  <si>
    <t>Toni_Navigo_decembre.pdf</t>
  </si>
  <si>
    <t xml:space="preserve">Jingxiao </t>
  </si>
  <si>
    <t>ANNEE 2024  --&gt;</t>
  </si>
  <si>
    <t>attestation.pdf</t>
  </si>
  <si>
    <t>Haozheng</t>
  </si>
  <si>
    <t>Commission TCA</t>
  </si>
  <si>
    <t>Total</t>
  </si>
  <si>
    <t>Remboursé</t>
  </si>
  <si>
    <t>Payé de nouveau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</si>
</sst>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2" borderId="0" xfId="1" applyFill="1"/>
    <xf numFmtId="0" fontId="0" fillId="0" borderId="0" xfId="0" applyAlignment="1">
      <alignment horizontal="center"/>
    </xf>
    <xf numFmtId="0" fontId="0" fillId="3" borderId="0" xfId="0" applyFill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2" xfId="0" applyBorder="1"/>
    <xf numFmtId="164" fontId="0" fillId="4" borderId="1" xfId="0" applyNumberFormat="1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tmastercarbonfr.sharepoint.com/:b:/s/founders/EWgvrqCpQ6ZHia5imqwNSTQB30IMAFhiHqbidqsfQMeZcQ?e=y40tFm" TargetMode="External"/><Relationship Id="rId13" Type="http://schemas.openxmlformats.org/officeDocument/2006/relationships/hyperlink" Target="https://dtmastercarbonfr.sharepoint.com/:b:/s/founders/Eeww85RjSNRBsAEbTmJRKEABtGsqEW1cjfQxMOT5vFLplg?e=QJyqYv" TargetMode="External"/><Relationship Id="rId18" Type="http://schemas.openxmlformats.org/officeDocument/2006/relationships/hyperlink" Target="https://dtmastercarbonfr.sharepoint.com/:b:/s/founders/EWXb1-GSi0BKoBtaHwWjAGYBz9Ph1HZeiD-UilPMrFebpA?e=z2ZN6r" TargetMode="External"/><Relationship Id="rId26" Type="http://schemas.openxmlformats.org/officeDocument/2006/relationships/hyperlink" Target="https://dtmastercarbonfr.sharepoint.com/:b:/s/founders/EankPDeVyvREvPNJlZsNaDUBaciDm0p3xTv6QL1-P5Ee9g?e=C9GDzv" TargetMode="External"/><Relationship Id="rId3" Type="http://schemas.openxmlformats.org/officeDocument/2006/relationships/hyperlink" Target="https://dtmastercarbonfr.sharepoint.com/:b:/s/founders/EWezhCpFH_5Ljeo7IcR1NycBJovwu7oEZtKBZdWCtlSyMw?e=rFYNq7" TargetMode="External"/><Relationship Id="rId21" Type="http://schemas.openxmlformats.org/officeDocument/2006/relationships/hyperlink" Target="https://dtmastercarbonfr.sharepoint.com/:b:/s/founders/Ee__mpyY7GhFurK4SJeF3zoBP43ZpiHVzddF1Hco2TxSNw?e=IAkQoz" TargetMode="External"/><Relationship Id="rId7" Type="http://schemas.openxmlformats.org/officeDocument/2006/relationships/hyperlink" Target="https://dtmastercarbonfr.sharepoint.com/:b:/s/founders/EVTgiWQTn6xGkRCRFj8UwaUBT5HLAPEhsAAsyPB7_GdaXA?e=bgjWdG" TargetMode="External"/><Relationship Id="rId12" Type="http://schemas.openxmlformats.org/officeDocument/2006/relationships/hyperlink" Target="https://dtmastercarbonfr.sharepoint.com/:b:/s/founders/Ebh1J9nyNkFGn0EXJestqy8B6PEZSLzcrfovSkIgzAz1lg?e=QfqsfT" TargetMode="External"/><Relationship Id="rId17" Type="http://schemas.openxmlformats.org/officeDocument/2006/relationships/hyperlink" Target="https://dtmastercarbonfr.sharepoint.com/:b:/s/founders/EVUlqDOnPchNtdzXR7M1Y1cBJy3eW0jjQEkJQd89hWDGkQ?e=cBz1UJ" TargetMode="External"/><Relationship Id="rId25" Type="http://schemas.openxmlformats.org/officeDocument/2006/relationships/hyperlink" Target="https://dtmastercarbonfr.sharepoint.com/:b:/s/founders/EankPDeVyvREvPNJlZsNaDUBaciDm0p3xTv6QL1-P5Ee9g?e=C9GDzv" TargetMode="External"/><Relationship Id="rId2" Type="http://schemas.openxmlformats.org/officeDocument/2006/relationships/hyperlink" Target="https://dtmastercarbonfr.sharepoint.com/:b:/s/founders/EaGeQZaH6l1Eu-uJnihAPRcBxhsk_OvpYSORHkiaoIrYsA?e=RDbjSb" TargetMode="External"/><Relationship Id="rId16" Type="http://schemas.openxmlformats.org/officeDocument/2006/relationships/hyperlink" Target="https://dtmastercarbonfr.sharepoint.com/:b:/s/founders/EdBrg-ZUZFBMm76my3l_zA0Brsxo3gcpsfyy5zPSJqThyA?e=gYoEZg" TargetMode="External"/><Relationship Id="rId20" Type="http://schemas.openxmlformats.org/officeDocument/2006/relationships/hyperlink" Target="https://dtmastercarbonfr.sharepoint.com/:b:/s/founders/EbS0nj6Kh1FKujb9vwICL9oBXQ-GeXkxk5o0zjdmcUAOQg?e=mOiWMy" TargetMode="External"/><Relationship Id="rId1" Type="http://schemas.openxmlformats.org/officeDocument/2006/relationships/hyperlink" Target="https://dtmastercarbonfr.sharepoint.com/:b:/s/founders/EankPDeVyvREvPNJlZsNaDUBaciDm0p3xTv6QL1-P5Ee9g?e=C9GDzv" TargetMode="External"/><Relationship Id="rId6" Type="http://schemas.openxmlformats.org/officeDocument/2006/relationships/hyperlink" Target="https://dtmastercarbonfr.sharepoint.com/:b:/s/founders/EbS0nj6Kh1FKujb9vwICL9oBXQ-GeXkxk5o0zjdmcUAOQg?e=mOiWMy" TargetMode="External"/><Relationship Id="rId11" Type="http://schemas.openxmlformats.org/officeDocument/2006/relationships/hyperlink" Target="https://dtmastercarbonfr.sharepoint.com/:b:/s/founders/Eb-X-X4IlB1HmcvS2IqBuaoBl5Xxlstxv-xyMF2joWwM0Q?e=AA4CDR" TargetMode="External"/><Relationship Id="rId24" Type="http://schemas.openxmlformats.org/officeDocument/2006/relationships/hyperlink" Target="https://dtmastercarbonfr.sharepoint.com/:b:/s/founders/EaGeQZaH6l1Eu-uJnihAPRcBxhsk_OvpYSORHkiaoIrYsA?e=RDbjSb" TargetMode="External"/><Relationship Id="rId5" Type="http://schemas.openxmlformats.org/officeDocument/2006/relationships/hyperlink" Target="https://dtmastercarbonfr.sharepoint.com/:b:/s/founders/EbtUbWrVqcpIjmgkJCvF8mIBVaQpP8jxtg_u1OyoRTI2Ig?e=4jYT2j" TargetMode="External"/><Relationship Id="rId15" Type="http://schemas.openxmlformats.org/officeDocument/2006/relationships/hyperlink" Target="https://dtmastercarbonfr.sharepoint.com/:b:/s/founders/EUXNnRr7eK9OmsAtz28fsLMBdG5oDTzN2XkG8cA458ApIQ?e=PnmNnt" TargetMode="External"/><Relationship Id="rId23" Type="http://schemas.openxmlformats.org/officeDocument/2006/relationships/hyperlink" Target="https://dtmastercarbonfr.sharepoint.com/:b:/s/founders/EWezhCpFH_5Ljeo7IcR1NycBJovwu7oEZtKBZdWCtlSyMw?e=rFYNq7" TargetMode="External"/><Relationship Id="rId10" Type="http://schemas.openxmlformats.org/officeDocument/2006/relationships/hyperlink" Target="https://dtmastercarbonfr.sharepoint.com/:b:/s/founders/Ee__mpyY7GhFurK4SJeF3zoBP43ZpiHVzddF1Hco2TxSNw?e=IAkQoz" TargetMode="External"/><Relationship Id="rId19" Type="http://schemas.openxmlformats.org/officeDocument/2006/relationships/hyperlink" Target="https://dtmastercarbonfr.sharepoint.com/:b:/s/founders/EbtUbWrVqcpIjmgkJCvF8mIBVaQpP8jxtg_u1OyoRTI2Ig?e=4jYT2j" TargetMode="External"/><Relationship Id="rId4" Type="http://schemas.openxmlformats.org/officeDocument/2006/relationships/hyperlink" Target="https://dtmastercarbonfr.sharepoint.com/:b:/s/founders/EWXb1-GSi0BKoBtaHwWjAGYBz9Ph1HZeiD-UilPMrFebpA?e=z2ZN6r" TargetMode="External"/><Relationship Id="rId9" Type="http://schemas.openxmlformats.org/officeDocument/2006/relationships/hyperlink" Target="https://dtmastercarbonfr.sharepoint.com/:b:/s/founders/EcTlyr3nqWJIgL0DDzkVBnAB6373XXfkkRo7JgwpOiTX9g?e=s7Vbz7" TargetMode="External"/><Relationship Id="rId14" Type="http://schemas.openxmlformats.org/officeDocument/2006/relationships/hyperlink" Target="https://dtmastercarbonfr.sharepoint.com/:b:/s/founders/EbKCObOUal9Op54AxrbPss0B2ZJI0K2vGQunImiPY06DtQ?e=GzfYRe" TargetMode="External"/><Relationship Id="rId22" Type="http://schemas.openxmlformats.org/officeDocument/2006/relationships/hyperlink" Target="https://dtmastercarbonfr.sharepoint.com/:b:/s/founders/EUXNnRr7eK9OmsAtz28fsLMBdG5oDTzN2XkG8cA458ApIQ?e=PnmN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4661-6C27-47BF-B672-86DF25C5AE53}">
  <dimension ref="A1:L19"/>
  <sheetViews>
    <sheetView tabSelected="1" workbookViewId="0">
      <selection activeCell="F16" sqref="F16"/>
    </sheetView>
  </sheetViews>
  <sheetFormatPr defaultRowHeight="15"/>
  <cols>
    <col min="1" max="1" width="11" customWidth="1"/>
    <col min="2" max="2" width="25.140625" customWidth="1"/>
    <col min="3" max="3" width="25.28515625" customWidth="1"/>
    <col min="4" max="4" width="25.42578125" customWidth="1"/>
    <col min="5" max="5" width="25.5703125" customWidth="1"/>
    <col min="6" max="6" width="25.7109375" customWidth="1"/>
    <col min="7" max="7" width="25.42578125" customWidth="1"/>
    <col min="8" max="8" width="15.5703125" bestFit="1" customWidth="1"/>
    <col min="9" max="9" width="10.140625" bestFit="1" customWidth="1"/>
    <col min="10" max="11" width="10.7109375" bestFit="1" customWidth="1"/>
    <col min="12" max="12" width="15.140625" bestFit="1" customWidth="1"/>
  </cols>
  <sheetData>
    <row r="1" spans="1:12">
      <c r="A1">
        <v>2024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2">
      <c r="A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12">
      <c r="A3" t="s">
        <v>13</v>
      </c>
      <c r="D3" s="1" t="s">
        <v>14</v>
      </c>
      <c r="E3" t="s">
        <v>15</v>
      </c>
      <c r="F3" s="1" t="s">
        <v>16</v>
      </c>
      <c r="G3" s="1" t="s">
        <v>17</v>
      </c>
    </row>
    <row r="4" spans="1:12">
      <c r="A4" t="s">
        <v>18</v>
      </c>
      <c r="D4" s="1" t="s">
        <v>19</v>
      </c>
      <c r="E4" s="1" t="s">
        <v>20</v>
      </c>
      <c r="F4" s="1" t="s">
        <v>21</v>
      </c>
      <c r="G4" s="1" t="s">
        <v>22</v>
      </c>
    </row>
    <row r="5" spans="1:12">
      <c r="A5" t="s">
        <v>23</v>
      </c>
      <c r="E5" s="1" t="s">
        <v>24</v>
      </c>
      <c r="F5" s="3" t="s">
        <v>25</v>
      </c>
      <c r="G5" s="2" t="s">
        <v>26</v>
      </c>
    </row>
    <row r="6" spans="1:12">
      <c r="E6" s="1"/>
      <c r="F6" s="1"/>
      <c r="G6" s="2"/>
    </row>
    <row r="7" spans="1:12">
      <c r="E7" s="1"/>
      <c r="F7" s="1"/>
      <c r="G7" s="2"/>
    </row>
    <row r="8" spans="1:12">
      <c r="A8" t="s">
        <v>27</v>
      </c>
      <c r="B8" t="s">
        <v>28</v>
      </c>
      <c r="C8" s="1" t="s">
        <v>29</v>
      </c>
    </row>
    <row r="9" spans="1:12">
      <c r="A9" t="s">
        <v>30</v>
      </c>
    </row>
    <row r="14" spans="1:12">
      <c r="A14">
        <v>2024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31</v>
      </c>
      <c r="J14" s="6" t="s">
        <v>32</v>
      </c>
      <c r="K14" s="8" t="s">
        <v>33</v>
      </c>
      <c r="L14" s="6" t="s">
        <v>34</v>
      </c>
    </row>
    <row r="15" spans="1:12">
      <c r="A15" t="s">
        <v>6</v>
      </c>
      <c r="B15" s="1">
        <f>36.33/2</f>
        <v>18.164999999999999</v>
      </c>
      <c r="C15" s="1">
        <f>36.33/2</f>
        <v>18.164999999999999</v>
      </c>
      <c r="D15" s="1">
        <f>72.66/2</f>
        <v>36.33</v>
      </c>
      <c r="E15" s="1">
        <f>46.71/2</f>
        <v>23.355</v>
      </c>
      <c r="F15" s="1">
        <f>69.2/2</f>
        <v>34.6</v>
      </c>
      <c r="G15" s="1">
        <f>53.63/2</f>
        <v>26.815000000000001</v>
      </c>
      <c r="H15">
        <v>180</v>
      </c>
      <c r="J15" s="7">
        <f>SUM(B15:H15)</f>
        <v>337.43</v>
      </c>
      <c r="K15" s="8">
        <v>314.75</v>
      </c>
      <c r="L15" s="9">
        <f>J15-K15</f>
        <v>22.680000000000007</v>
      </c>
    </row>
    <row r="16" spans="1:12">
      <c r="A16" t="s">
        <v>13</v>
      </c>
      <c r="D16" s="1">
        <f>86.4/2</f>
        <v>43.2</v>
      </c>
      <c r="E16" s="4" t="s">
        <v>15</v>
      </c>
      <c r="F16" s="1">
        <f>86.4/2</f>
        <v>43.2</v>
      </c>
      <c r="G16" s="1">
        <v>43.2</v>
      </c>
      <c r="J16" s="7">
        <f>SUM(B16:H16)</f>
        <v>129.60000000000002</v>
      </c>
      <c r="K16" s="8">
        <f>43.2+43.2</f>
        <v>86.4</v>
      </c>
      <c r="L16" s="9">
        <f>J16-K16</f>
        <v>43.200000000000017</v>
      </c>
    </row>
    <row r="17" spans="1:12">
      <c r="A17" t="s">
        <v>18</v>
      </c>
      <c r="D17" s="1">
        <f t="shared" ref="D17:F19" si="0">86.4/2</f>
        <v>43.2</v>
      </c>
      <c r="E17" s="1">
        <f t="shared" si="0"/>
        <v>43.2</v>
      </c>
      <c r="F17" s="1">
        <f t="shared" si="0"/>
        <v>43.2</v>
      </c>
      <c r="G17" s="1">
        <f>86.4/2</f>
        <v>43.2</v>
      </c>
      <c r="J17" s="7">
        <f>SUM(B17:H17)</f>
        <v>172.8</v>
      </c>
      <c r="K17" s="8">
        <f>86.4+125.4</f>
        <v>211.8</v>
      </c>
      <c r="L17" s="9">
        <f>J17-K17</f>
        <v>-39</v>
      </c>
    </row>
    <row r="18" spans="1:12">
      <c r="A18" t="s">
        <v>23</v>
      </c>
      <c r="D18" s="1"/>
      <c r="E18" s="1">
        <f>86.4/4</f>
        <v>21.6</v>
      </c>
      <c r="F18" s="1">
        <f t="shared" si="0"/>
        <v>43.2</v>
      </c>
      <c r="G18" s="2">
        <f>86.4/2</f>
        <v>43.2</v>
      </c>
      <c r="J18" s="7">
        <f>SUM(B18:H18)</f>
        <v>108.00000000000001</v>
      </c>
      <c r="K18" s="8">
        <v>34.56</v>
      </c>
      <c r="L18" s="9">
        <f>J18-K18</f>
        <v>73.440000000000012</v>
      </c>
    </row>
    <row r="19" spans="1:12">
      <c r="A19" t="s">
        <v>27</v>
      </c>
      <c r="B19" s="5">
        <f>86.4/2</f>
        <v>43.2</v>
      </c>
      <c r="C19" s="5">
        <f t="shared" ref="C19:F19" si="1">86.4/2</f>
        <v>43.2</v>
      </c>
      <c r="D19" s="5">
        <f t="shared" si="1"/>
        <v>43.2</v>
      </c>
      <c r="E19" s="5">
        <f t="shared" si="0"/>
        <v>43.2</v>
      </c>
      <c r="F19" s="5">
        <f t="shared" si="0"/>
        <v>43.2</v>
      </c>
      <c r="G19" s="5">
        <v>43.2</v>
      </c>
    </row>
  </sheetData>
  <hyperlinks>
    <hyperlink ref="B2" r:id="rId1" display="https://dtmastercarbonfr.sharepoint.com/:b:/s/founders/EankPDeVyvREvPNJlZsNaDUBaciDm0p3xTv6QL1-P5Ee9g?e=C9GDzv" xr:uid="{99BEA5D3-1C3E-46FC-BD77-BD5E7B54D488}"/>
    <hyperlink ref="D2" r:id="rId2" display="https://dtmastercarbonfr.sharepoint.com/:b:/s/founders/EaGeQZaH6l1Eu-uJnihAPRcBxhsk_OvpYSORHkiaoIrYsA?e=RDbjSb" xr:uid="{3080113C-6E30-4AFE-8D36-13BA18813574}"/>
    <hyperlink ref="D3" r:id="rId3" display="https://dtmastercarbonfr.sharepoint.com/:b:/s/founders/EWezhCpFH_5Ljeo7IcR1NycBJovwu7oEZtKBZdWCtlSyMw?e=rFYNq7" xr:uid="{49A73A04-7F66-4804-8D56-1D57F4F50F99}"/>
    <hyperlink ref="E2" r:id="rId4" display="https://dtmastercarbonfr.sharepoint.com/:b:/s/founders/EWXb1-GSi0BKoBtaHwWjAGYBz9Ph1HZeiD-UilPMrFebpA?e=z2ZN6r" xr:uid="{2BBEDD6D-3267-4567-A61E-1D9013B05CA8}"/>
    <hyperlink ref="F2" r:id="rId5" display="https://dtmastercarbonfr.sharepoint.com/:b:/s/founders/EbtUbWrVqcpIjmgkJCvF8mIBVaQpP8jxtg_u1OyoRTI2Ig?e=4jYT2j" xr:uid="{3A95CD04-A276-418D-9011-B8D5FC6A39FB}"/>
    <hyperlink ref="F3" r:id="rId6" display="https://dtmastercarbonfr.sharepoint.com/:b:/s/founders/EbS0nj6Kh1FKujb9vwICL9oBXQ-GeXkxk5o0zjdmcUAOQg?e=mOiWMy" xr:uid="{8B18F30B-3B77-4A4E-BEBD-78FA1D8DF23C}"/>
    <hyperlink ref="F4" r:id="rId7" display="https://dtmastercarbonfr.sharepoint.com/:b:/s/founders/EVTgiWQTn6xGkRCRFj8UwaUBT5HLAPEhsAAsyPB7_GdaXA?e=bgjWdG" xr:uid="{B6F7B0FB-BDB5-4D50-831D-28E1985B2869}"/>
    <hyperlink ref="G4" r:id="rId8" display="https://dtmastercarbonfr.sharepoint.com/:b:/s/founders/EWgvrqCpQ6ZHia5imqwNSTQB30IMAFhiHqbidqsfQMeZcQ?e=y40tFm" xr:uid="{B2EFEB94-A65D-4322-903F-2C2B127AA83C}"/>
    <hyperlink ref="C2" r:id="rId9" display="https://dtmastercarbonfr.sharepoint.com/:b:/s/founders/EcTlyr3nqWJIgL0DDzkVBnAB6373XXfkkRo7JgwpOiTX9g?e=s7Vbz7" xr:uid="{43603A56-411C-4617-9E12-1D1B5F3EE816}"/>
    <hyperlink ref="G3" r:id="rId10" display="https://dtmastercarbonfr.sharepoint.com/:b:/s/founders/Ee__mpyY7GhFurK4SJeF3zoBP43ZpiHVzddF1Hco2TxSNw?e=IAkQoz" xr:uid="{C6736856-7554-4082-A466-D6476E7BD9FA}"/>
    <hyperlink ref="C8" r:id="rId11" xr:uid="{B6E1A3C6-07D3-4832-A78C-24F2306597BA}"/>
    <hyperlink ref="G5" r:id="rId12" xr:uid="{D36E30A7-8885-4515-9547-C05332975F84}"/>
    <hyperlink ref="F5" r:id="rId13" xr:uid="{A1642A06-C074-4ECC-ADA2-98EB2715C82A}"/>
    <hyperlink ref="E5" r:id="rId14" xr:uid="{804F3BD0-F848-4F72-845A-3BFE5C146BBE}"/>
    <hyperlink ref="G2" r:id="rId15" xr:uid="{14F0C377-4796-416D-B00A-1FE32B200B71}"/>
    <hyperlink ref="D4" r:id="rId16" xr:uid="{F51373B5-B358-44A0-A3AD-93A13D1FB9E2}"/>
    <hyperlink ref="E4" r:id="rId17" xr:uid="{810EBA2F-8623-49E6-BB95-3C22479D2014}"/>
    <hyperlink ref="E15" r:id="rId18" display="https://dtmastercarbonfr.sharepoint.com/:b:/s/founders/EWXb1-GSi0BKoBtaHwWjAGYBz9Ph1HZeiD-UilPMrFebpA?e=z2ZN6r" xr:uid="{A9FFE4F2-F7C6-4551-A422-BECD0BD9FDFE}"/>
    <hyperlink ref="F15" r:id="rId19" display="https://dtmastercarbonfr.sharepoint.com/:b:/s/founders/EbtUbWrVqcpIjmgkJCvF8mIBVaQpP8jxtg_u1OyoRTI2Ig?e=4jYT2j" xr:uid="{9EB3E12A-2511-4EE4-8AD1-136606C2F55E}"/>
    <hyperlink ref="F16" r:id="rId20" display="https://dtmastercarbonfr.sharepoint.com/:b:/s/founders/EbS0nj6Kh1FKujb9vwICL9oBXQ-GeXkxk5o0zjdmcUAOQg?e=mOiWMy" xr:uid="{7A3B228C-CC6D-4BDF-B0F0-D0ACBEAE37DB}"/>
    <hyperlink ref="G16" r:id="rId21" display="https://dtmastercarbonfr.sharepoint.com/:b:/s/founders/Ee__mpyY7GhFurK4SJeF3zoBP43ZpiHVzddF1Hco2TxSNw?e=IAkQoz" xr:uid="{675C2079-0AEF-4AEC-94D4-566E395144CC}"/>
    <hyperlink ref="G15" r:id="rId22" xr:uid="{6126CFF5-DE2C-45E5-AAF8-405A377802BA}"/>
    <hyperlink ref="D16" r:id="rId23" display="https://dtmastercarbonfr.sharepoint.com/:b:/s/founders/EWezhCpFH_5Ljeo7IcR1NycBJovwu7oEZtKBZdWCtlSyMw?e=rFYNq7" xr:uid="{C2CE3AE9-E450-4543-AEA1-F697830D7868}"/>
    <hyperlink ref="D15" r:id="rId24" display="https://dtmastercarbonfr.sharepoint.com/:b:/s/founders/EaGeQZaH6l1Eu-uJnihAPRcBxhsk_OvpYSORHkiaoIrYsA?e=RDbjSb" xr:uid="{83E7A3E3-ACCE-440A-A708-34D3C15F0B98}"/>
    <hyperlink ref="B15" r:id="rId25" display="https://dtmastercarbonfr.sharepoint.com/:b:/s/founders/EankPDeVyvREvPNJlZsNaDUBaciDm0p3xTv6QL1-P5Ee9g?e=C9GDzv" xr:uid="{0C5413F0-872D-456A-9DD5-28B078E37E44}"/>
    <hyperlink ref="C15" r:id="rId26" display="https://dtmastercarbonfr.sharepoint.com/:b:/s/founders/EankPDeVyvREvPNJlZsNaDUBaciDm0p3xTv6QL1-P5Ee9g?e=C9GDzv" xr:uid="{C63F6BD8-2B56-4F0C-8C28-6CE5D0200C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03CD-C014-4D42-A28B-510417FBC97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3b66136ed8d462393c798dc8e0bb2219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389f731727afad3cfbb2a2f3305df03e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697E28-C972-4E93-B245-6BE7F9BAD828}"/>
</file>

<file path=customXml/itemProps2.xml><?xml version="1.0" encoding="utf-8"?>
<ds:datastoreItem xmlns:ds="http://schemas.openxmlformats.org/officeDocument/2006/customXml" ds:itemID="{F17ADF0F-3770-4205-8365-8E08FE391365}"/>
</file>

<file path=customXml/itemProps3.xml><?xml version="1.0" encoding="utf-8"?>
<ds:datastoreItem xmlns:ds="http://schemas.openxmlformats.org/officeDocument/2006/customXml" ds:itemID="{C0C0882D-3F47-4329-A90F-606EEC3DD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Demarre</dc:creator>
  <cp:keywords/>
  <dc:description/>
  <cp:lastModifiedBy>Mia Chen</cp:lastModifiedBy>
  <cp:revision/>
  <dcterms:created xsi:type="dcterms:W3CDTF">2025-01-20T10:09:31Z</dcterms:created>
  <dcterms:modified xsi:type="dcterms:W3CDTF">2025-02-07T11:00:17Z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  <property fmtid="{D5CDD505-2E9C-101B-9397-08002B2CF9AE}" pid="3" name="MediaServiceImageTags">
    <vt:lpwstr/>
  </property>
</Properties>
</file>